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sumail-my.sharepoint.com/personal/aac01075_su_suffolk_edu/Documents/Good Sports Internship/"/>
    </mc:Choice>
  </mc:AlternateContent>
  <xr:revisionPtr revIDLastSave="674" documentId="8_{F3238365-F692-4526-A896-D6844D5F8B4F}" xr6:coauthVersionLast="47" xr6:coauthVersionMax="47" xr10:uidLastSave="{C05F7845-38ED-4CA3-8429-A395B5992D52}"/>
  <bookViews>
    <workbookView minimized="1" xWindow="2940" yWindow="0" windowWidth="21600" windowHeight="11295" tabRatio="931" activeTab="1" xr2:uid="{4A9A9DB9-C0E4-4739-B639-360D8660321B}"/>
  </bookViews>
  <sheets>
    <sheet name="Research Project Guide" sheetId="17" r:id="rId1"/>
    <sheet name="Research" sheetId="2" r:id="rId2"/>
    <sheet name="Charts" sheetId="18" r:id="rId3"/>
    <sheet name="Netsuite Searches" sheetId="15" state="hidden" r:id="rId4"/>
    <sheet name="2023 Partners" sheetId="13" state="hidden" r:id="rId5"/>
    <sheet name="Sample Proposals" sheetId="3" state="hidden" r:id="rId6"/>
    <sheet name="Document Links" sheetId="1" state="hidden" r:id="rId7"/>
    <sheet name="Partnerships" sheetId="5" state="hidden" r:id="rId8"/>
    <sheet name="Stewardship Tracker" sheetId="10" state="hidden" r:id="rId9"/>
    <sheet name="Partnership Models" sheetId="6" state="hidden" r:id="rId10"/>
    <sheet name="Stewardship Strategy" sheetId="11" state="hidden" r:id="rId11"/>
    <sheet name="Stories (inactive)" sheetId="12" state="hidden" r:id="rId12"/>
    <sheet name="Stewardship Content (inactive)" sheetId="9" state="hidden" r:id="rId13"/>
  </sheets>
  <definedNames>
    <definedName name="_xlnm._FilterDatabase" localSheetId="4" hidden="1">'2023 Partners'!$A$2:$I$43</definedName>
    <definedName name="_xlnm._FilterDatabase" localSheetId="6" hidden="1">'Document Links'!$A$1:$D$24</definedName>
    <definedName name="_xlnm._FilterDatabase" localSheetId="7" hidden="1">Partnerships!$A$2:$P$59</definedName>
    <definedName name="_xlnm._FilterDatabase" localSheetId="1" hidden="1">Research!$A$1:$E$116</definedName>
    <definedName name="_xlnm._FilterDatabase" localSheetId="5" hidden="1">'Sample Proposals'!$A$1:$D$26</definedName>
    <definedName name="_xlnm._FilterDatabase" localSheetId="12" hidden="1">'Stewardship Content (inactive)'!$A$1:$F$3</definedName>
    <definedName name="_xlnm._FilterDatabase" localSheetId="8" hidden="1">'Stewardship Tracker'!$A$1:$I$52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18" l="1"/>
  <c r="D36" i="18"/>
  <c r="D35" i="18"/>
  <c r="B11" i="18"/>
  <c r="B6" i="18"/>
  <c r="B47" i="10"/>
  <c r="B54" i="10"/>
  <c r="B55" i="10"/>
  <c r="B5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tc={E5859CB2-F3AF-445C-BE81-BE34FE4BA04E}</author>
  </authors>
  <commentList>
    <comment ref="F1" authorId="0" shapeId="0" xr:uid="{E5859CB2-F3AF-445C-BE81-BE34FE4BA04E}">
      <text>
        <t>[Threaded comment]
Your version of Excel allows you to read this threaded comment; however, any edits to it will get removed if the file is opened in a newer version of Excel. Learn more: https://go.microsoft.com/fwlink/?linkid=870924
Comment:
    Write yes or no and add a brief reference to what the new stat is (ie SHAPE America, 2024). The new stats you add will be at the bottom of this list.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tc={EEA9858F-5085-4C89-858D-255753F0A0FE}</author>
    <author>tc={CAE7093A-6AF3-4817-98CE-684CDBF7A942}</author>
  </authors>
  <commentList>
    <comment ref="A19" authorId="0" shapeId="0" xr:uid="{EEA9858F-5085-4C89-858D-255753F0A0FE}">
      <text>
        <t>[Threaded comment]
Your version of Excel allows you to read this threaded comment; however, any edits to it will get removed if the file is opened in a newer version of Excel. Learn more: https://go.microsoft.com/fwlink/?linkid=870924
Comment:
    First RP proposal. Three phases were developed after.</t>
      </text>
    </comment>
    <comment ref="A20" authorId="1" shapeId="0" xr:uid="{CAE7093A-6AF3-4817-98CE-684CDBF7A942}">
      <text>
        <t>[Threaded comment]
Your version of Excel allows you to read this threaded comment; however, any edits to it will get removed if the file is opened in a newer version of Excel. Learn more: https://go.microsoft.com/fwlink/?linkid=870924
Comment:
    This proposal communicates restricted and unrestricted split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tc={6C7C2005-B9A3-4132-8169-D7350C55A708}</author>
    <author>tc={52DB509D-48B6-4893-919F-46175EFF2C27}</author>
    <author>tc={CC4CD07E-8AC3-4B25-8620-A6C0E1F0F475}</author>
    <author>tc={375D9AF4-0D4B-4AF1-9185-294698BA1F1A}</author>
    <author>tc={2B2A5B98-83AD-474F-B5B3-B3B1605DA7EC}</author>
    <author>tc={444CD5BB-80C6-4D0A-869F-7A391D2F576C}</author>
    <author>tc={D8FD8A69-BC6B-4724-A82B-4CB4DC6D905C}</author>
  </authors>
  <commentList>
    <comment ref="J2" authorId="0" shapeId="0" xr:uid="{6C7C2005-B9A3-4132-8169-D7350C55A708}">
      <text>
        <t>[Threaded comment]
Your version of Excel allows you to read this threaded comment; however, any edits to it will get removed if the file is opened in a newer version of Excel. Learn more: https://go.microsoft.com/fwlink/?linkid=870924
Comment:
    Program Team Manager</t>
      </text>
    </comment>
    <comment ref="G9" authorId="1" shapeId="0" xr:uid="{52DB509D-48B6-4893-919F-46175EFF2C27}">
      <text>
        <t>[Threaded comment]
Your version of Excel allows you to read this threaded comment; however, any edits to it will get removed if the file is opened in a newer version of Excel. Learn more: https://go.microsoft.com/fwlink/?linkid=870924
Comment:
    Karleen, do you remember the other sports? 2019 donation. IR doesn't say sports.
Reply:
    Made possible by PRO coordinating multiple funders. Strong case study for massive impact made possible through this model.</t>
      </text>
    </comment>
    <comment ref="G12" authorId="2" shapeId="0" xr:uid="{CC4CD07E-8AC3-4B25-8620-A6C0E1F0F475}">
      <text>
        <t>[Threaded comment]
Your version of Excel allows you to read this threaded comment; however, any edits to it will get removed if the file is opened in a newer version of Excel. Learn more: https://go.microsoft.com/fwlink/?linkid=870924
Comment:
    Paid partly by team sponsor (Nike)</t>
      </text>
    </comment>
    <comment ref="L17" authorId="3" shapeId="0" xr:uid="{375D9AF4-0D4B-4AF1-9185-294698BA1F1A}">
      <text>
        <t>[Threaded comment]
Your version of Excel allows you to read this threaded comment; however, any edits to it will get removed if the file is opened in a newer version of Excel. Learn more: https://go.microsoft.com/fwlink/?linkid=870924
Comment:
    More details early May</t>
      </text>
    </comment>
    <comment ref="G28" authorId="4" shapeId="0" xr:uid="{2B2A5B98-83AD-474F-B5B3-B3B1605DA7EC}">
      <text>
        <t>[Threaded comment]
Your version of Excel allows you to read this threaded comment; however, any edits to it will get removed if the file is opened in a newer version of Excel. Learn more: https://go.microsoft.com/fwlink/?linkid=870924
Comment:
    Paid for by team sponsor, Ultimate Software</t>
      </text>
    </comment>
    <comment ref="G29" authorId="5" shapeId="0" xr:uid="{444CD5BB-80C6-4D0A-869F-7A391D2F576C}">
      <text>
        <t>[Threaded comment]
Your version of Excel allows you to read this threaded comment; however, any edits to it will get removed if the file is opened in a newer version of Excel. Learn more: https://go.microsoft.com/fwlink/?linkid=870924
Comment:
    Didn't have budget in 2019 but hopeful to resume in 2021 or future.</t>
      </text>
    </comment>
    <comment ref="B51" authorId="6" shapeId="0" xr:uid="{D8FD8A69-BC6B-4724-A82B-4CB4DC6D905C}">
      <text>
        <t>[Threaded comment]
Your version of Excel allows you to read this threaded comment; however, any edits to it will get removed if the file is opened in a newer version of Excel. Learn more: https://go.microsoft.com/fwlink/?linkid=870924
Comment:
    SE Michigan, Western NY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tc={6936FECF-D4A5-4DB9-836D-7353B4D02026}</author>
    <author>tc={6F576ADD-96FB-4C2C-92DF-6D2514CC17BE}</author>
    <author>tc={C1825783-81E6-4F1F-834E-52B8543A60A6}</author>
    <author>tc={276CF59D-8BC5-4DDB-96FB-A44FC5AFA1F5}</author>
    <author>tc={2C8647C0-8F40-47E3-96AF-48AD1F0C1E46}</author>
    <author>tc={809658B9-90D9-477F-B16A-2D187651297F}</author>
    <author>tc={46BCD6DB-939A-4070-9BA4-2D45CA0C88EE}</author>
    <author>tc={90606250-7532-4BB8-B5B4-F6D49320B597}</author>
    <author>tc={198EE9D4-6D91-4C39-B687-50EB30046326}</author>
  </authors>
  <commentList>
    <comment ref="D1" authorId="0" shapeId="0" xr:uid="{6936FECF-D4A5-4DB9-836D-7353B4D02026}">
      <text>
        <t>[Threaded comment]
Your version of Excel allows you to read this threaded comment; however, any edits to it will get removed if the file is opened in a newer version of Excel. Learn more: https://go.microsoft.com/fwlink/?linkid=870924
Comment:
    Program Team Manager</t>
      </text>
    </comment>
    <comment ref="D8" authorId="1" shapeId="0" xr:uid="{6F576ADD-96FB-4C2C-92DF-6D2514CC17BE}">
      <text>
        <t>[Threaded comment]
Your version of Excel allows you to read this threaded comment; however, any edits to it will get removed if the file is opened in a newer version of Excel. Learn more: https://go.microsoft.com/fwlink/?linkid=870924
Comment:
    Karleen leads communication with Foundation</t>
      </text>
    </comment>
    <comment ref="D15" authorId="2" shapeId="0" xr:uid="{C1825783-81E6-4F1F-834E-52B8543A60A6}">
      <text>
        <t>[Threaded comment]
Your version of Excel allows you to read this threaded comment; however, any edits to it will get removed if the file is opened in a newer version of Excel. Learn more: https://go.microsoft.com/fwlink/?linkid=870924
Comment:
    Christy is POC</t>
      </text>
    </comment>
    <comment ref="D34" authorId="3" shapeId="0" xr:uid="{276CF59D-8BC5-4DDB-96FB-A44FC5AFA1F5}">
      <text>
        <t>[Threaded comment]
Your version of Excel allows you to read this threaded comment; however, any edits to it will get removed if the file is opened in a newer version of Excel. Learn more: https://go.microsoft.com/fwlink/?linkid=870924
Comment:
    Mel is POC</t>
      </text>
    </comment>
    <comment ref="I37" authorId="4" shapeId="0" xr:uid="{2C8647C0-8F40-47E3-96AF-48AD1F0C1E46}">
      <text>
        <t>[Threaded comment]
Your version of Excel allows you to read this threaded comment; however, any edits to it will get removed if the file is opened in a newer version of Excel. Learn more: https://go.microsoft.com/fwlink/?linkid=870924
Comment:
    @Sean Ndebele can we change status to lapsed instead for this? Or is the door shut on the Knicks and Sneakers?
Reply:
    @Rebecca let me check with David on both.</t>
      </text>
    </comment>
    <comment ref="D39" authorId="5" shapeId="0" xr:uid="{809658B9-90D9-477F-B16A-2D187651297F}">
      <text>
        <t>[Threaded comment]
Your version of Excel allows you to read this threaded comment; however, any edits to it will get removed if the file is opened in a newer version of Excel. Learn more: https://go.microsoft.com/fwlink/?linkid=870924
Comment:
    Rebecca leads communication with Foundation</t>
      </text>
    </comment>
    <comment ref="D40" authorId="6" shapeId="0" xr:uid="{46BCD6DB-939A-4070-9BA4-2D45CA0C88EE}">
      <text>
        <t>[Threaded comment]
Your version of Excel allows you to read this threaded comment; however, any edits to it will get removed if the file is opened in a newer version of Excel. Learn more: https://go.microsoft.com/fwlink/?linkid=870924
Comment:
    Christy leads communication with Foundation and will steward relationship</t>
      </text>
    </comment>
    <comment ref="D45" authorId="7" shapeId="0" xr:uid="{90606250-7532-4BB8-B5B4-F6D49320B597}">
      <text>
        <t>[Threaded comment]
Your version of Excel allows you to read this threaded comment; however, any edits to it will get removed if the file is opened in a newer version of Excel. Learn more: https://go.microsoft.com/fwlink/?linkid=870924
Comment:
    Mel communication?</t>
      </text>
    </comment>
    <comment ref="D46" authorId="8" shapeId="0" xr:uid="{198EE9D4-6D91-4C39-B687-50EB30046326}">
      <text>
        <t>[Threaded comment]
Your version of Excel allows you to read this threaded comment; however, any edits to it will get removed if the file is opened in a newer version of Excel. Learn more: https://go.microsoft.com/fwlink/?linkid=870924
Comment:
    Christy POC?</t>
      </text>
    </comment>
  </commentList>
</comments>
</file>

<file path=xl/sharedStrings.xml><?xml version="1.0" encoding="utf-8"?>
<sst xmlns="http://schemas.openxmlformats.org/spreadsheetml/2006/main" count="1831" uniqueCount="836">
  <si>
    <t>Documents</t>
  </si>
  <si>
    <t>Category</t>
  </si>
  <si>
    <t>Description</t>
  </si>
  <si>
    <t>Link</t>
  </si>
  <si>
    <t>Community Evaluation Database</t>
  </si>
  <si>
    <t>Community</t>
  </si>
  <si>
    <t>Stories stored here</t>
  </si>
  <si>
    <t>W:\PR and Marketing\Returned Community Evals\RCE Database</t>
  </si>
  <si>
    <t>Wordpress (dlencz/November2003!)</t>
  </si>
  <si>
    <t>Evaluations stored here</t>
  </si>
  <si>
    <t>https://www.goodsports.org/wp-login.php?redirect_to=http%3A%2F%2Fgoodsports.org%2Fwp-admin%2F&amp;reauth=1</t>
  </si>
  <si>
    <t>Top Equipment Request Retail Values</t>
  </si>
  <si>
    <t>Use to calculate equipment need</t>
  </si>
  <si>
    <t>https://goodsports.sharepoint.com/:x:/g/EaldBo7lKu5BgP8yBerW1gEBLwTTz6qb5JXwzcSnff7OUg?e=Fc2Rpx</t>
  </si>
  <si>
    <t>Netsuite Baseline Searches</t>
  </si>
  <si>
    <t>List of NS searches</t>
  </si>
  <si>
    <t>https://goodsports.sharepoint.com/:x:/g/EWvMnR4PPqdKuHlZsPlD9oMBepQ3XWF-B26N48qW0VXdVg?e=Orssnt</t>
  </si>
  <si>
    <t>Map of Approved Organizations</t>
  </si>
  <si>
    <t>Shows locations of approved programs</t>
  </si>
  <si>
    <t xml:space="preserve"> https://www.google.com/maps/d/edit?mid=1RDtLJLcMEI4Ppt5AOg1uxt0ThDWLK0Yd&amp;usp=sharing</t>
  </si>
  <si>
    <t>Core Team Map (PA Territories)</t>
  </si>
  <si>
    <t>Prospecting and proposals</t>
  </si>
  <si>
    <t>https://create.piktochart.com/output/31389696-territory-map-2020</t>
  </si>
  <si>
    <t>Partnership Allocation Model</t>
  </si>
  <si>
    <t>See owner of partnerships</t>
  </si>
  <si>
    <t>https://goodsports.sharepoint.com/:x:/g/EVbkr_z8UENJgR_MYs07xEwBkDm6SkaAy4Xi9jPcOyE0wA</t>
  </si>
  <si>
    <t>GS Application Copy</t>
  </si>
  <si>
    <t>If prospect wants to see it</t>
  </si>
  <si>
    <t>..\Proposal Support\Good Sports Application.pdf</t>
  </si>
  <si>
    <t>She Who Plays Data</t>
  </si>
  <si>
    <t>Program team data, updated monthly</t>
  </si>
  <si>
    <t>https://goodsports.sharepoint.com/:x:/g/EQK6Z5j6FppDrQJxw4ev1CUBMFvGws5pV9L3xh-MXcaoZg?e=e1JAa0</t>
  </si>
  <si>
    <t>Field House Volunteerism Database</t>
  </si>
  <si>
    <t>FH Volunteerism</t>
  </si>
  <si>
    <t>Tracking volunteer groups/individuals</t>
  </si>
  <si>
    <t>W:\Field House Volunteer Program\Field House Volunteer Event MASTER</t>
  </si>
  <si>
    <t>Field House Volunteerism IR Template</t>
  </si>
  <si>
    <t>Use to draft volunteer group IR</t>
  </si>
  <si>
    <t>W:\Field House Volunteer Program\Event Execution\Impact Reporting\FH Volunteer Event Impact Report Template</t>
  </si>
  <si>
    <t>Partnership Handoff Process Guide</t>
  </si>
  <si>
    <t>Handoff Process</t>
  </si>
  <si>
    <t>Next steps after confirmed grant</t>
  </si>
  <si>
    <t>..\Processes &amp; Procedures\New Funding Handoff Process.docx</t>
  </si>
  <si>
    <t>Partnership Handoff Template</t>
  </si>
  <si>
    <t>Marketing Asset Library</t>
  </si>
  <si>
    <t>Marketing/PR</t>
  </si>
  <si>
    <t>Videos, news links, etc</t>
  </si>
  <si>
    <t>W:\PR and Marketing\Assets\Marketing Assets Library</t>
  </si>
  <si>
    <t>PR/Marketing Best Practices</t>
  </si>
  <si>
    <t>Collaborations with PR/Mktg</t>
  </si>
  <si>
    <t>PR &amp; Marketing &gt; Best Practices &gt; Marketing and PR Best Practices</t>
  </si>
  <si>
    <t>PR/Marketing BD Cheat Sheet</t>
  </si>
  <si>
    <t>PR &amp; Marketing &gt; Best Practices &gt; Team Cheat Sheets &gt; Biz Dev</t>
  </si>
  <si>
    <t>Photobank</t>
  </si>
  <si>
    <t>Collection of quality GS photos</t>
  </si>
  <si>
    <t>https://www.dropbox.com/scl/fo/bhmr1rs5sgkg4ymxx22b1/h?dl=0&amp;rlkey=uqlfm9sbyqllaxb2urqvemr48</t>
  </si>
  <si>
    <t>Grant Template</t>
  </si>
  <si>
    <t>Proposal Support</t>
  </si>
  <si>
    <t>For writing proposals</t>
  </si>
  <si>
    <t>https://goodsports.sharepoint.com/:f:/g/EhDPKsmO051KiRU1B4lcfQQBWbVvwm-Z9PbQKk75KM3qPQ?e=SWr1ew</t>
  </si>
  <si>
    <t>Attachments (financials, 501c3, etc)</t>
  </si>
  <si>
    <t>For proposal attachments</t>
  </si>
  <si>
    <t>W:\Business Development\Attachments</t>
  </si>
  <si>
    <t>Kid/Equipment Donation Numbers</t>
  </si>
  <si>
    <t>All time donation numbers</t>
  </si>
  <si>
    <t>https://goodsports.sharepoint.com/:x:/g/ES5RHd2DzYVLifcipSGAVOYB-0o40gGPFFVn9kQylIiWhg?e=7Kge6n</t>
  </si>
  <si>
    <t>Child Opportunity Score</t>
  </si>
  <si>
    <t>http://diversitydatakids.org/research-library/data-visualization/snapshot-child-opportunity-across-us</t>
  </si>
  <si>
    <t>Child Obesity Ratings</t>
  </si>
  <si>
    <t>Reference</t>
  </si>
  <si>
    <t>2019 child obesity rates by state</t>
  </si>
  <si>
    <t>https://stateofchildhoodobesity.org/children1017/</t>
  </si>
  <si>
    <t>Corporate/Foundation Supporter Benefits</t>
  </si>
  <si>
    <t>-</t>
  </si>
  <si>
    <t>W:\Business Development\Supporter Benefit Levels</t>
  </si>
  <si>
    <t>Source</t>
  </si>
  <si>
    <t>Year</t>
  </si>
  <si>
    <t>Stat</t>
  </si>
  <si>
    <t>Academic/Cognitive</t>
  </si>
  <si>
    <t>Women’s Sports Foundation</t>
  </si>
  <si>
    <t>Multisport athletes were also less likely to smoke cigarettes, less likely to cut class, and more likely to receive grades of A or A- in school and to expect to graduate from a four-year college (Women's Sports Foundation, 2018).</t>
  </si>
  <si>
    <t>Good Sports</t>
  </si>
  <si>
    <t>Cost to Play</t>
  </si>
  <si>
    <t>Aspen Institute</t>
  </si>
  <si>
    <t>92% of park and rec agencies across the country charge participation fees.</t>
  </si>
  <si>
    <t>Shape America</t>
  </si>
  <si>
    <t xml:space="preserve">The average Physical Education budget is $764 per year (Shape America, 2016). </t>
  </si>
  <si>
    <t>Equipment can take up 50% of a program's entire budget (Shape America, 2016).</t>
  </si>
  <si>
    <t>Families making $100,000 or more spent $1,354 annually per child, compared to families between $50,000-$99,999 spending $908 per child, and families under $50,000 spending $561 per child (Aspen Institute, 2020).</t>
  </si>
  <si>
    <t>RAND</t>
  </si>
  <si>
    <t>Not only are families struggling with the rising costs of sports, but school administrators and community leaders also face financial barriers to provide their youth with sports. In fact, “school administrators and community leaders noted that in the past five years, most school sports budgets have not increased, despite rising sports fees for both school and community-based sports.” (RAND, 2019).</t>
  </si>
  <si>
    <t>U.S. Census Bureau</t>
  </si>
  <si>
    <t>Of the 24.1 million children ages 6 to 11 in 2018, 3.8 million (15.7%) were in poverty for the entirety of the previous year, and an additional 2.7 million (11.3%) were in poverty for some, but not all, months in the previous year (U.S. Census Bureau, 2020).</t>
  </si>
  <si>
    <t>COVID-19 - Good Sports Stat</t>
  </si>
  <si>
    <t>Even as we start to feel the momentum of recovery from the pandemic, 60% of youth organizations Good Sports supports in low-income communities are still experiencing a decline in resources for equipment.</t>
  </si>
  <si>
    <t>COVID-19 (Economic)</t>
  </si>
  <si>
    <t>Robert Wood Johnson Foundation</t>
  </si>
  <si>
    <t>More than half of households in NYC, Chicago, LA and Houston reported job or wage loss (Robert Wood Johnson, 2020). Specifically: 61% in LA, 50% NYC, 51% Chicago, 57% Houston.</t>
  </si>
  <si>
    <t>In NYC, Los Angeles, Houston and Chicago, most Black and Latinx households, as well as households with incomes below $100,000, report serious financial problems as a result of COVID-19 (Robert Wood Johnson Foundation, 2020). 
Specifically: 
In Los Angeles, 71% of Latinx and 52% of Black households report serious financial problems compared to 37% of White households.
In New York City, 73% of Latinx and 62% of Black households report serious financial problems compared to 36% of White households.
In Chicago, 69% of Black and 63% of Latinx households report serious financial problems compared to 33% of White households.</t>
  </si>
  <si>
    <t>Economic trends show 43% of adult household members nationally have lost their jobs, been furloughed, or had wages or hours reduced since the start of the outbreak (Robert Wood Johnson Foundation, 2020).</t>
  </si>
  <si>
    <t>COVID-19 (Emotional)</t>
  </si>
  <si>
    <t xml:space="preserve">A study by the University of Wisconsin found that 65% of adolescent athletes reported anxiety symptoms in May, with 25% suffering moderate or severe anxiety. Physical activity was down 50% during the pandemic, according to the study (Aspen Institute, 2020). </t>
  </si>
  <si>
    <t>COVID-19 (Participation)</t>
  </si>
  <si>
    <t>LeagueSide</t>
  </si>
  <si>
    <t>In a survey, 80% of parents reported their child/children were less physically active than before the pandemic (LeagueSide, 2020).</t>
  </si>
  <si>
    <t>Children's time spent on sports has decreased by nearly 50% since the COVID-19 shutdown (Aspen Institute, 2020).</t>
  </si>
  <si>
    <t xml:space="preserve">The pandemic has furthered the gap in youth sports participation, with children from high-income households participating in sports activities 2.5 hours more than children from low-income households during the height of the pandemic. Before COVID-19, the gap was 40 minutes (Aspen Institute, 2020). </t>
  </si>
  <si>
    <t>Emotional/Mental Well Being</t>
  </si>
  <si>
    <t>Beyond Sports</t>
  </si>
  <si>
    <t xml:space="preserve">Research shows adding more recess time improves social and emotional wellbeing and academic performance </t>
  </si>
  <si>
    <t xml:space="preserve">Beyond Sport </t>
  </si>
  <si>
    <t>Findings suggest the rise in mental health disorders in youth is attributed to declining opportunities to play for children and teens.</t>
  </si>
  <si>
    <t>JAMA Pediatrics</t>
  </si>
  <si>
    <t xml:space="preserve">While depression is one of the most prevalent mental disorders amongst children, physical activity causes significant reduction in depressive symptoms (JAMA Pediatrics, 2022). </t>
  </si>
  <si>
    <t>National Library of Medicine</t>
  </si>
  <si>
    <t>Youth participating in sports show lower levels of anxiety and depression (National Library of Medicine, 2020).</t>
  </si>
  <si>
    <t>Coaches are being asked to do more, with many youths suffering from mental health challenges enhanced by the pandemic</t>
  </si>
  <si>
    <t>Data collected by the Women’s Sports Foundation showed that high school male and female students who participate in sports scored healthier on six psychological health categories (self-esteem, fatalism, self-efficacy, loneliness, self-derogation and social support) than the general student body (2015).</t>
  </si>
  <si>
    <t>The Sport Journal</t>
  </si>
  <si>
    <t xml:space="preserve">"…of the 514 college students surveyed, those who participated in sports prior to college reported higher self-esteem and happiness than non-sport participants.” - </t>
  </si>
  <si>
    <t>Massachusetts General Hospital</t>
  </si>
  <si>
    <t xml:space="preserve">A study by Massachusetts General Hospital and published in the journal JAMA Psychiatry said that physical activity can reduce the risk for depression (2019). </t>
  </si>
  <si>
    <t>Girls</t>
  </si>
  <si>
    <t>National Federation of State High School Associations</t>
  </si>
  <si>
    <t>High school girls have one million fewer opportunities to play sports than high school boys (National Federation of State High School Associations, 2022).</t>
  </si>
  <si>
    <t>By age 14, girls are dropping out of sports at two times the rate of boys (Women's Sports Foundation, 2021).</t>
  </si>
  <si>
    <t>Participation Gap</t>
  </si>
  <si>
    <t>Pioneer Press</t>
  </si>
  <si>
    <t>St. Paul, MN leveraged grants to remove all sports fees for kids 10 and under. In the first basketball season, registrations increased by 40% (Pioneer Press, 2022).</t>
  </si>
  <si>
    <t>Only 37% of children ages 6-12 played team sports on a regular basis in 2021, still not back to pre-pandemic levels</t>
  </si>
  <si>
    <t>University of Michigan</t>
  </si>
  <si>
    <t xml:space="preserve">Among parents from households earning less than $60,000 a year, 27% say their child was less involved with school activities because of cost (University of Michigan, 2016). </t>
  </si>
  <si>
    <t>Prior to the pandemic, 40% of White kids ages 6-12 played sports – more than Hispanics (34%), Asians/Pacific Islanders (35%) and Blacks (35%) (Aspen Institute, 2020).</t>
  </si>
  <si>
    <t>Sports &amp; Fitness Industry Association</t>
  </si>
  <si>
    <t>In 2018, only 38% of kids aged six to 12 played team sports on a regular basis, down from 45% in 2008, according to the Sports &amp; Fitness Industry Association.</t>
  </si>
  <si>
    <t>Among children who were in poverty for the entire year, involvement in sports was higher (30.9%) among the older children compared to the younger children (23.4%). For children who were at least five times above poverty the entire year, involvement in sports among children ages 12 to 17 did not differ from children ages 6 to 11.</t>
  </si>
  <si>
    <t>Physical Activity/Obesity</t>
  </si>
  <si>
    <t>Parents who are inactive are 5-8 times more likely to have inactive children and physically inactive children are twice as likely to be obese as adults (Robert Wood Johnson Foundation, 2016).</t>
  </si>
  <si>
    <t xml:space="preserve">One in seven youth have obesity (Robert Wood Johnson Foundation, 2020). </t>
  </si>
  <si>
    <t>In 2018-2019, obesity rates were significantly higher for Hispanic (20.7%) and Black (22.9%) youth than Asian (5.9%) and White (14.7%) youth (Robert Wood Johnson Foundation, 2020).</t>
  </si>
  <si>
    <t>Five states had obesity rates that were statistically significantly higher than the national rate in 2018-19: Kentucky (23.8%), Mississippi (22.3%), South Carolina (22.1%), Tennessee (20.4%), and Arkansas (20.2%).</t>
  </si>
  <si>
    <t>21.5% of youth in households making less than the federal poverty level had obesity, more than double the 8.8% of youth in households making at least 400 percent of the federal poverty level (Robert Wood Johnson Foundation, 2020).</t>
  </si>
  <si>
    <t>Centers for Disease Control and Prevention</t>
  </si>
  <si>
    <t>Obesity affects 13 million children and adolescents in the United States (prevalence of obesity is 18.5%) (Centers for Disease Control and Prevention, 2017).</t>
  </si>
  <si>
    <t>Data Resource Center for Child and Adolescent Health</t>
  </si>
  <si>
    <t xml:space="preserve">76% of American youth do not get the recommended amount of physical activity each day (Data Resource Center for Child and Adolescent Helath, 2016). </t>
  </si>
  <si>
    <t>Post-secondary/career</t>
  </si>
  <si>
    <t>High school athletes are more likely to expect to graduate from a four-year college (73% girls, 59% boys) compared to non-athletes (67% girls, 53% boys) (Women's Sports Foundation, 2018).</t>
  </si>
  <si>
    <t>Racial Equity</t>
  </si>
  <si>
    <t>There's a relative lack of access for minority children. In 2018, of children (ages 6-12) who played a sport on a regular basis, 34% of Black and 33% of Latinx/Hispanic youth participated, compared to 40% of White youth (Aspen Institute, 2019).</t>
  </si>
  <si>
    <t xml:space="preserve">Black children start in organized sports nearly a year later, after age 8. And once they do, their parents’ motivation to keep them in the game is significantly more driven by the possibility of playing beyond high school. Parents of African-American youth rated the pursuit of a college scholarship as 23% more important and a pro sports opportunity as 26% more important than White parents, according to the survey (Aspen Institute, 2018) </t>
  </si>
  <si>
    <t xml:space="preserve">Survey results show that the average Black child has a shorter duration in playing sports than the average White child. Moreover, for lower income parents, expense was the second most common reason their child did not participate in sports (RAND, 2019). </t>
  </si>
  <si>
    <t>Social</t>
  </si>
  <si>
    <t>Laureus USA</t>
  </si>
  <si>
    <t xml:space="preserve">More boys in sports-based youth development programs developed social emotional learning (SEL) skills compared to boys in non-sports programs. Additionally, sports programs significantly help boys of color. In non-sports programs, boys of color developed fewer SEL skills than their White counterparts. In sports programs, boys of color developed SEL skills at the same rate as their White counterparts (Laureus USA 2021). </t>
  </si>
  <si>
    <t>Youth Violence</t>
  </si>
  <si>
    <t>National Archive of Criminal Justice Data</t>
  </si>
  <si>
    <t>The after-school hours of 3pm-7pm is the peak time for juvenile crime (National Archive of Criminal Justice Data, 2016) – Good Sports supports programs who provide a safe, structured environment for youth in those hours</t>
  </si>
  <si>
    <t>Womens Sport Foundation</t>
  </si>
  <si>
    <t>"Girls Between 6-12 participate in sports on a regular basis"-Women's Sports Foundation</t>
  </si>
  <si>
    <t>"40% of teen girls are not actively participating in sports while Anually boys get 1.13 million more sport oppurtunities than girls"- Women's Sports Foundation</t>
  </si>
  <si>
    <t xml:space="preserve"> A study by Global Sports shows that 54.6 girls played in at least one sport  in school but only 48 percent of latinas played a sport due to the fact Latino families do not see the value of sports for girls and that boys get more funding and recognition </t>
  </si>
  <si>
    <t>Physical Health</t>
  </si>
  <si>
    <t>A comprehensive study and analysis of existing research found that leisure-time physical activity is associated with reduced risk of 13 different types of cancer, including breast, colon, liver and myeloid leukemia</t>
  </si>
  <si>
    <t>New York Times</t>
  </si>
  <si>
    <t>A 2019 study found that children who reported no exercise were twice as likely to have mental health problems, particularly related to anxiety and depression, compared with those who met the recommendation of an hour a day, and a 2020 study suggested that the more physical activity teenagers participated in, the less likely they were to report depression as 18-year-olds</t>
  </si>
  <si>
    <t>Women's Sports foundation</t>
  </si>
  <si>
    <t>Both male and female high school athletes are less likely to smoke cigarettes and suffer from loneliness and low self-esteem, when compared to non-athlete peers,</t>
  </si>
  <si>
    <t>Girls/ academics</t>
  </si>
  <si>
    <t>At your own risk</t>
  </si>
  <si>
    <t>High school students, especially female students, who play sports are less likely to drop out.</t>
  </si>
  <si>
    <t>National Children's Health</t>
  </si>
  <si>
    <t>Just 18% of youth with disabilities participate in 60 minutes of daily physical activity, less than the 22% rate for the general population</t>
  </si>
  <si>
    <t>Proposal</t>
  </si>
  <si>
    <t>Market</t>
  </si>
  <si>
    <t>SportsEngine Field Day Proposal (2019)</t>
  </si>
  <si>
    <t>National</t>
  </si>
  <si>
    <t>Employee Engagement - Field Day</t>
  </si>
  <si>
    <t>2019 Good Sports and SportsEngine Proposal.docx</t>
  </si>
  <si>
    <t>UL PPP/Field Day Proposal (2018)</t>
  </si>
  <si>
    <t>North Carolina</t>
  </si>
  <si>
    <t>UL and Good Sports Proposal.docx</t>
  </si>
  <si>
    <t>Wintrust PPP Proposal (2019)</t>
  </si>
  <si>
    <t>Chicago</t>
  </si>
  <si>
    <t>Employee Engagement - PPP</t>
  </si>
  <si>
    <t>Good Sports and Wintrust 2018 Proposal.docx</t>
  </si>
  <si>
    <t>ES2P FH Event Contract (2019)</t>
  </si>
  <si>
    <t>FH Event</t>
  </si>
  <si>
    <t>2019 ExceleratedS2P Good Sports Engagement Event.docx</t>
  </si>
  <si>
    <t>Google.org Impact Award</t>
  </si>
  <si>
    <t>She Who Plays</t>
  </si>
  <si>
    <t>Google.org Impact Award 2021</t>
  </si>
  <si>
    <t>San Francisco 49ers - Flag Football and Play Packs (2020)</t>
  </si>
  <si>
    <t>San Francisco</t>
  </si>
  <si>
    <t>Flag Football</t>
  </si>
  <si>
    <t>San Fransisco 49ers 2020 Proposal</t>
  </si>
  <si>
    <t>Reigning Champs - Flag Football (2020)</t>
  </si>
  <si>
    <t>Landing Page</t>
  </si>
  <si>
    <t>Good Sports Partnership Overview 6.20.docx</t>
  </si>
  <si>
    <t>Kansas City Chiefs - Landing Page &amp; Flag Football (2020)</t>
  </si>
  <si>
    <t>Kansas City</t>
  </si>
  <si>
    <t>Kansas City Chiefs 2020 Proposal.docx</t>
  </si>
  <si>
    <t>JuJu Smith-Schuster 2021</t>
  </si>
  <si>
    <t>Pittsburgh</t>
  </si>
  <si>
    <t>Athlete</t>
  </si>
  <si>
    <t>JuJu 2021</t>
  </si>
  <si>
    <t>Cody Ford/Vanguard Sports 2021</t>
  </si>
  <si>
    <t>South</t>
  </si>
  <si>
    <t>Cody Ford 2021</t>
  </si>
  <si>
    <t>Atlanta Hawks (2019)</t>
  </si>
  <si>
    <t>Atlanta</t>
  </si>
  <si>
    <t>Programmatic - General Project</t>
  </si>
  <si>
    <t>Atlanta Hawks and Good Sports 2018 Project Rebound Proposal.docx</t>
  </si>
  <si>
    <t>MedExpress 2021</t>
  </si>
  <si>
    <t>Atlanta Hawks - Bball Sampling Kits (2020)</t>
  </si>
  <si>
    <t>Programmatic - Kit Project</t>
  </si>
  <si>
    <t>2020 Atlanta Hawks Foundation Proposal.docx</t>
  </si>
  <si>
    <t>NBA (2019)</t>
  </si>
  <si>
    <t>NBA and Good Sports 2019 Proposal.docx</t>
  </si>
  <si>
    <t>Ludcke Foundation LOI (2020)</t>
  </si>
  <si>
    <t>Massachusetts</t>
  </si>
  <si>
    <t>Restore Play - General</t>
  </si>
  <si>
    <t>Good Sports 2020 LOI.docx</t>
  </si>
  <si>
    <t>NFL - Restore Play (2020) - see comment</t>
  </si>
  <si>
    <t>2020 Good Sports Restore Play Proposal.docx</t>
  </si>
  <si>
    <t>Dick's Sporting Goods (2020) - see comment</t>
  </si>
  <si>
    <t>DSG and Good Sports Partnership 2020.docx</t>
  </si>
  <si>
    <t>Green Bay Packers - Play Packs (2020)</t>
  </si>
  <si>
    <t>Wisconsin</t>
  </si>
  <si>
    <t>Restore Play - Play Packs</t>
  </si>
  <si>
    <t>Good Sports and Green Bay Packers 2020 Proposal.docx</t>
  </si>
  <si>
    <t>Arizona Cardinals - Play Packs &amp; Programmatic Support</t>
  </si>
  <si>
    <t>Arizona</t>
  </si>
  <si>
    <t>Good Sports and Arizona Cardinals 2020 Proposal.docx</t>
  </si>
  <si>
    <t>Chicago Bears - Play Packs</t>
  </si>
  <si>
    <t>Good Sports and Chicago Bears Play Pack 2020 Proposal</t>
  </si>
  <si>
    <t>Mabel Louise Riley Foundation (Renewal)</t>
  </si>
  <si>
    <t>Foundation</t>
  </si>
  <si>
    <t>Mabel Louise 2020 Restore Play Application</t>
  </si>
  <si>
    <t>Baltimore Ravens - Girls' Flag Football</t>
  </si>
  <si>
    <t>Baltimore</t>
  </si>
  <si>
    <t>2021 Ravens Proposal</t>
  </si>
  <si>
    <t>San Jose Sharks 2021</t>
  </si>
  <si>
    <t>San Jose</t>
  </si>
  <si>
    <t>Hockey</t>
  </si>
  <si>
    <t>MA</t>
  </si>
  <si>
    <t>FOX Sports</t>
  </si>
  <si>
    <t>Liberty Mutual</t>
  </si>
  <si>
    <t>Detroit</t>
  </si>
  <si>
    <t>Ralph Wilson Foundation</t>
  </si>
  <si>
    <t>DC</t>
  </si>
  <si>
    <t>Stewardship</t>
  </si>
  <si>
    <t>Partner (2018-YTD)</t>
  </si>
  <si>
    <t>Status</t>
  </si>
  <si>
    <t xml:space="preserve">BD </t>
  </si>
  <si>
    <t>PT</t>
  </si>
  <si>
    <t>Q1</t>
  </si>
  <si>
    <t>Q2</t>
  </si>
  <si>
    <t>Q3</t>
  </si>
  <si>
    <t>Q4</t>
  </si>
  <si>
    <t>Next Step</t>
  </si>
  <si>
    <t>Bain Capital</t>
  </si>
  <si>
    <t>RL</t>
  </si>
  <si>
    <t>Cody Ford (Vanguard Sports)</t>
  </si>
  <si>
    <t>Atlanta Falcons Youth Foundation (Arthur M. Blank Foundation)</t>
  </si>
  <si>
    <t>AK</t>
  </si>
  <si>
    <t>Atlanta United (Arthur M. Blank Foundation)</t>
  </si>
  <si>
    <t>?</t>
  </si>
  <si>
    <t>Impact Report, Touchpoint late Q2</t>
  </si>
  <si>
    <t>Possible activation</t>
  </si>
  <si>
    <t>Activation 11/18</t>
  </si>
  <si>
    <t>2 yr cycle, leftovers rolling to 2023 for spring drop-ship. Discussing 2023 activation plans after 11/18</t>
  </si>
  <si>
    <t>Boston Marathon</t>
  </si>
  <si>
    <t>Cubs Charities (Chicago Cubs)</t>
  </si>
  <si>
    <t>DICK's Sporting Goods</t>
  </si>
  <si>
    <t>Dynamo Charities (Houston Dynamo)</t>
  </si>
  <si>
    <t>Elizabeth Morse Charitable Trust</t>
  </si>
  <si>
    <t>Fight for Children</t>
  </si>
  <si>
    <t>Dunkin' Brands / Philadelphia Eagles</t>
  </si>
  <si>
    <t>BD team strategize before 2022</t>
  </si>
  <si>
    <t>Himan Charitable Trust</t>
  </si>
  <si>
    <t>KH</t>
  </si>
  <si>
    <t>MedExpress</t>
  </si>
  <si>
    <t>Miami Marlins</t>
  </si>
  <si>
    <t>New Balance Foundation</t>
  </si>
  <si>
    <t>NFL</t>
  </si>
  <si>
    <t>Gray Foundation</t>
  </si>
  <si>
    <t>Atlanta Hawks</t>
  </si>
  <si>
    <t>Project Execution</t>
  </si>
  <si>
    <t>BM</t>
  </si>
  <si>
    <t>Georgia SHAPE</t>
  </si>
  <si>
    <t>Bryan Request Call</t>
  </si>
  <si>
    <t>Columbus Youth Foundation</t>
  </si>
  <si>
    <t>Proposal Submitted</t>
  </si>
  <si>
    <t>Impact Report</t>
  </si>
  <si>
    <t>Gatorade</t>
  </si>
  <si>
    <t>Confirmed</t>
  </si>
  <si>
    <t>Quest Nutrition</t>
  </si>
  <si>
    <t>Awaiting Decision</t>
  </si>
  <si>
    <t>Ralph C. Wilson, Jr. Foundation</t>
  </si>
  <si>
    <t>Renewal Conversations Starting 3/1</t>
  </si>
  <si>
    <t>Tampa Bay Rowdies/Rays</t>
  </si>
  <si>
    <t>Under Armour (She Who Plays)</t>
  </si>
  <si>
    <t>Coversations</t>
  </si>
  <si>
    <t>Yawkey Foundation</t>
  </si>
  <si>
    <t>MLBPA Player's Trust</t>
  </si>
  <si>
    <t>Conversations</t>
  </si>
  <si>
    <t>Impact Report?</t>
  </si>
  <si>
    <t>Under Armour (Curry Brand)</t>
  </si>
  <si>
    <t>Sparkling Ice</t>
  </si>
  <si>
    <t>GEICO Massachusetts</t>
  </si>
  <si>
    <t>MC</t>
  </si>
  <si>
    <t>Renewal Conversations</t>
  </si>
  <si>
    <t>MLB RBI</t>
  </si>
  <si>
    <t>The Bill Belichick Foundation</t>
  </si>
  <si>
    <t>Gary and Vivienne Player Foundation</t>
  </si>
  <si>
    <t>Nathaniel and Elizabeth Stevens Foundation</t>
  </si>
  <si>
    <t>Yasso</t>
  </si>
  <si>
    <t>Tenacre Foundation</t>
  </si>
  <si>
    <t>GEICO New York</t>
  </si>
  <si>
    <t>Theragun</t>
  </si>
  <si>
    <t>New York Rangers</t>
  </si>
  <si>
    <t>The Boston Foundation</t>
  </si>
  <si>
    <t>Mabel Louise Riley Foundation</t>
  </si>
  <si>
    <t>Touchpoint</t>
  </si>
  <si>
    <t>Reapply?</t>
  </si>
  <si>
    <t>8-10 weeks</t>
  </si>
  <si>
    <t>Unveiling Event</t>
  </si>
  <si>
    <t>25-40</t>
  </si>
  <si>
    <t>12 weeks</t>
  </si>
  <si>
    <t>Partnership Detail</t>
  </si>
  <si>
    <t>Type of Funder</t>
  </si>
  <si>
    <t>Partnership Model</t>
  </si>
  <si>
    <t>Year Started</t>
  </si>
  <si>
    <t>Typical Budget</t>
  </si>
  <si>
    <t>Summary</t>
  </si>
  <si>
    <t>PTM</t>
  </si>
  <si>
    <t>2023 Renewal Likelihood</t>
  </si>
  <si>
    <t>Notes</t>
  </si>
  <si>
    <t>Corporation</t>
  </si>
  <si>
    <t>Sports Sponsorship</t>
  </si>
  <si>
    <t>Donations to various communities, tie-in with their programming (Tua doc), in-game reads, EAK employee holiday campaign</t>
  </si>
  <si>
    <t>CPK</t>
  </si>
  <si>
    <t>DM</t>
  </si>
  <si>
    <t>Programmatic: New Program</t>
  </si>
  <si>
    <t>P.E. kits to geographies across MA</t>
  </si>
  <si>
    <t>Magnolia Foundation</t>
  </si>
  <si>
    <t>TX</t>
  </si>
  <si>
    <t>Event: Emp Engagement - PPP</t>
  </si>
  <si>
    <t>Pick-Pack-Play for Magnolia employees to pack $70k in equipment for Bledsoe Miller Community Center, the Boys &amp; Girls Clubs of Waco, the Doris Miller YMCA, and the Special Olympics Texas – Heart of Texas Area.</t>
  </si>
  <si>
    <t>Inactive</t>
  </si>
  <si>
    <t>News from them every six months or so</t>
  </si>
  <si>
    <t>The Ranzetta Family</t>
  </si>
  <si>
    <t>Individual donation leveraged to provide baseball/softball equipment to 10 U.S. markets</t>
  </si>
  <si>
    <t>MTH</t>
  </si>
  <si>
    <t>Wintrust</t>
  </si>
  <si>
    <t>Pick-Pack-Play for Wintrust employees to pack $70k in equipment for seven Chicago youth organizations</t>
  </si>
  <si>
    <t>Puerto Rico Open</t>
  </si>
  <si>
    <t>Puerto Rico</t>
  </si>
  <si>
    <t>PGA</t>
  </si>
  <si>
    <t>Donated nearly $787k to 24 Puerto Rico orgs in baseball, boxing, ___equipment, apparel and footwear</t>
  </si>
  <si>
    <t>Closed</t>
  </si>
  <si>
    <t xml:space="preserve">Multiple: Programmatic/Employee Engagement </t>
  </si>
  <si>
    <t>GA fitness donations, Field Day at stadium, HS equipment makeover</t>
  </si>
  <si>
    <t>Possible donations, AK reaching out w/ AFYF and AU</t>
  </si>
  <si>
    <t>Possible activation w/ AU</t>
  </si>
  <si>
    <t>Activation for Falcons/Truistm donations in progress</t>
  </si>
  <si>
    <t>Donations complete for 22 (1 shipping in Jan), report due end of Jan. Q1-Q2 renewal. Interest in SWP.</t>
  </si>
  <si>
    <t>MLS</t>
  </si>
  <si>
    <t>PPP and Field Day, soccer donations</t>
  </si>
  <si>
    <t>Chicago Bears</t>
  </si>
  <si>
    <t>1,200 at-home P.E. Packs to CPS students</t>
  </si>
  <si>
    <t>KH staying in touch</t>
  </si>
  <si>
    <t>MLB</t>
  </si>
  <si>
    <t>Baseball/softball equipment to Chicago organizations through PPP event</t>
  </si>
  <si>
    <t>Finalizing recipients March. PPP this summer/June</t>
  </si>
  <si>
    <t>Touchpoint early, Impact report end of Q3</t>
  </si>
  <si>
    <t>Renew, EOY touchpoint</t>
  </si>
  <si>
    <t>Waiting on them about strategy</t>
  </si>
  <si>
    <t>Mel send note to Kyle</t>
  </si>
  <si>
    <t>Likely</t>
  </si>
  <si>
    <t>Report due in May</t>
  </si>
  <si>
    <t>Donated 10,000 Play Packs to kids in need across the country for the holidays. We put cards signed by 800 DSG stores into the packs.</t>
  </si>
  <si>
    <t>2021 IR</t>
  </si>
  <si>
    <t>PPP for dist center, DSG-led event in ATL stadium end of April. IR in June. Community touchpoint in September about Chicago event</t>
  </si>
  <si>
    <t>Activation</t>
  </si>
  <si>
    <t>$1.5M committed for 2023, no sports matter days. DSG figuring out what they're looking for.</t>
  </si>
  <si>
    <t>Louisiana</t>
  </si>
  <si>
    <t>Individual</t>
  </si>
  <si>
    <t>Athlete Donation</t>
  </si>
  <si>
    <t>Donating up to $20k in football gear to Cody's high school (Pineville HS, Louisiana)</t>
  </si>
  <si>
    <t>Not renewing but AK touching base with Mia to see if we can get small IR</t>
  </si>
  <si>
    <t>n/a</t>
  </si>
  <si>
    <t>Community Foundation for Southeast Michigan</t>
  </si>
  <si>
    <t>Programmatic: Existing Program</t>
  </si>
  <si>
    <t>Equipment lending pilot program in coordination with RCWJF</t>
  </si>
  <si>
    <t>Community Foundation of South Alabama</t>
  </si>
  <si>
    <t>Alabama</t>
  </si>
  <si>
    <t>Programmatic support to South Alabama and need measurement</t>
  </si>
  <si>
    <t>Community Foundation of Western New York</t>
  </si>
  <si>
    <t>NY State</t>
  </si>
  <si>
    <t>Renewal</t>
  </si>
  <si>
    <t xml:space="preserve">Support for their 17 programs </t>
  </si>
  <si>
    <t>2021 IR sent, 2nd round</t>
  </si>
  <si>
    <t>Donations likely complete by July.</t>
  </si>
  <si>
    <t xml:space="preserve">FY ends in August, AK asking about renewal. IR August. </t>
  </si>
  <si>
    <t>See notes</t>
  </si>
  <si>
    <t>New York City</t>
  </si>
  <si>
    <t>Drop Ship donations for NYC programs, donating up to $50,000 in equipment</t>
  </si>
  <si>
    <t>IR in March.</t>
  </si>
  <si>
    <t>AK sending note about renewal but no response from IR</t>
  </si>
  <si>
    <t>Philadelphia</t>
  </si>
  <si>
    <t>Multiple: Sports Sponsorship/Unveiling</t>
  </si>
  <si>
    <t>TouchDDowns for Kids - donation for each TD Zach Ertz scored. Similar promo with Philly Union.</t>
  </si>
  <si>
    <t>Drop-ship/summer, Activations, community touchpoint post-drop ship donation</t>
  </si>
  <si>
    <t>Activations/impact report/2023?</t>
  </si>
  <si>
    <t>AK talked to Emily, 2 FL (Palm Beach for one), 1 east coast (Pittsburgh), 1 Dallas. Still working on budget, looking for equipment donation component. Waiting on her but AK to share unveiling event concept.</t>
  </si>
  <si>
    <t>Miami</t>
  </si>
  <si>
    <t xml:space="preserve">Play Pack donations under Restore Play. </t>
  </si>
  <si>
    <t>They're leading celebrations</t>
  </si>
  <si>
    <t>Donations almost complete then IR. Eval touchpoint now</t>
  </si>
  <si>
    <t>IR/ Renewal</t>
  </si>
  <si>
    <t>Donations completed as of December. Impact report in progress. EAK still in progress.</t>
  </si>
  <si>
    <t>Empower Retirement</t>
  </si>
  <si>
    <t>Multiple: Sports Sponsorship/Employee Engagement - PPP</t>
  </si>
  <si>
    <t>PPP at stadiums where they had sports sponsorships: Denver, Kansas City, New England.</t>
  </si>
  <si>
    <t>Donations to communities they care about - Lawrence, MA to Puerto Rico. Also have done PPP events at their HQ and warehouse.</t>
  </si>
  <si>
    <t>Formal Report due August (SWP Aug 21-July 22), potentially get additional $ late Q3</t>
  </si>
  <si>
    <t>Touchpoint if no convos about ambassador</t>
  </si>
  <si>
    <t>AK reached out to ask about SWP ambassador, they said will discuss and get back but we haven't heard.</t>
  </si>
  <si>
    <t>Youth football equipment donations in collaboration with USA Football</t>
  </si>
  <si>
    <t>Donations complete</t>
  </si>
  <si>
    <t>Progress report - April</t>
  </si>
  <si>
    <t>Mel working on renewal for 2023</t>
  </si>
  <si>
    <t>Video</t>
  </si>
  <si>
    <t>TBD</t>
  </si>
  <si>
    <t>Scheduling a call with them, they are doing a video crew. 4 out of 6 schools distrbuted</t>
  </si>
  <si>
    <t>NBA</t>
  </si>
  <si>
    <t>Customized jersey, bballs with other equipment</t>
  </si>
  <si>
    <t>Call Scheduled</t>
  </si>
  <si>
    <t>Impact Report, Renewal Confirmed</t>
  </si>
  <si>
    <t>Yes</t>
  </si>
  <si>
    <t>Finished donation, IR working, looking to do additional $50K, meeting this week, BM has check in this week</t>
  </si>
  <si>
    <t>General Mills</t>
  </si>
  <si>
    <t>Cause Marketing</t>
  </si>
  <si>
    <t>Promo with a product where consumers could send text a code for GM to donate 50c to Good Sports. GM gave us a $10k min.</t>
  </si>
  <si>
    <t>Ohio</t>
  </si>
  <si>
    <t>Programmatic support to Columbus OH programs</t>
  </si>
  <si>
    <t>Projection Execution for 2022-2023</t>
  </si>
  <si>
    <t>Touchpoint, teaser of Impact</t>
  </si>
  <si>
    <t>Not likely</t>
  </si>
  <si>
    <t>Curry Brand at Under Armour</t>
  </si>
  <si>
    <t>Donations to NC and NY programs to start</t>
  </si>
  <si>
    <t>Impact report</t>
  </si>
  <si>
    <t>CPK and BM having conversation</t>
  </si>
  <si>
    <t>Monthly updates to them</t>
  </si>
  <si>
    <t>Keurig Dr Pepper</t>
  </si>
  <si>
    <t>Employee engagement events across the country at their manufacturing facilities under the Let's Play initiative. Worked alongside KaBOOM! on certain events. Led HS makeover contest as well.</t>
  </si>
  <si>
    <t>Wrapping up donations and report but discontinuing partnership.</t>
  </si>
  <si>
    <t>Event: Unveiling</t>
  </si>
  <si>
    <t>Unveiling Events in different MA locations each year. Presentation followed by kids playing with equipment.</t>
  </si>
  <si>
    <t>All three donations happening in September, MC eventually manage</t>
  </si>
  <si>
    <t>NYC</t>
  </si>
  <si>
    <t>Unveiling TBD, targeted programmatic donations to start</t>
  </si>
  <si>
    <t>Awaiting on feedback from them, if no response we will respond in Augut</t>
  </si>
  <si>
    <t>Georgia</t>
  </si>
  <si>
    <t>P.E. equipment to GA programs</t>
  </si>
  <si>
    <t>NY program support</t>
  </si>
  <si>
    <t>GS Update</t>
  </si>
  <si>
    <t>Baseball/softball donations to RBI programs.</t>
  </si>
  <si>
    <t>Partnership Work</t>
  </si>
  <si>
    <t>MLB-MLBPA Youth Development Foundation</t>
  </si>
  <si>
    <t xml:space="preserve">Equipment fund that gets replenished over time. </t>
  </si>
  <si>
    <t>Kits to NBA teams</t>
  </si>
  <si>
    <t>All-star</t>
  </si>
  <si>
    <t>New York Knicks</t>
  </si>
  <si>
    <t>Bball equipment</t>
  </si>
  <si>
    <t>NHL</t>
  </si>
  <si>
    <t>Street hockey equipment and unveiling event</t>
  </si>
  <si>
    <t>Renewal/Meeting Request</t>
  </si>
  <si>
    <t>50/50</t>
  </si>
  <si>
    <t>Dragging feet for additional funding, waiting to hear more</t>
  </si>
  <si>
    <t>Programmatic support to Lawrence, MA</t>
  </si>
  <si>
    <t>Pittsburgh Pirates</t>
  </si>
  <si>
    <t>Programmatic support to FL and Pittsburgh programs</t>
  </si>
  <si>
    <t>Foundation - Sports Individual</t>
  </si>
  <si>
    <t>Programmatic support to Southeast MI and Western NY</t>
  </si>
  <si>
    <t>Interim Report</t>
  </si>
  <si>
    <t>CPK met with new PO in July 2022, Renewal convos Spring 2023, App due July 2023, Septembber board meeting review</t>
  </si>
  <si>
    <t>Project Execution, Unveiling Event Happened</t>
  </si>
  <si>
    <t>One unveiling left in September, have completed two Rowdies drop ship donations</t>
  </si>
  <si>
    <t>Mel very involved,</t>
  </si>
  <si>
    <t>Football and lacrosse programmatic support to various regions</t>
  </si>
  <si>
    <t>Execution</t>
  </si>
  <si>
    <t>Impact Report/Renewal/Meeting Request</t>
  </si>
  <si>
    <t>Candace connecting with new contact July 2022, working on scheduling call, one donation left</t>
  </si>
  <si>
    <t>Under Armour</t>
  </si>
  <si>
    <t>In-kind support, store promo, Healthy at Home promo, She Who Plays donation, Curry brand</t>
  </si>
  <si>
    <t>Christy largely leads this</t>
  </si>
  <si>
    <t>Renewal/Meeting Request, Bryan Checking with Mel</t>
  </si>
  <si>
    <t>Middle of May she wants to hold on reconnecting, engage in fall</t>
  </si>
  <si>
    <t>Baseball/softball equipment to New England organizations</t>
  </si>
  <si>
    <t>Missed Deadline</t>
  </si>
  <si>
    <t>Renewal App Opens December 1 2022</t>
  </si>
  <si>
    <t>Event: Field Day</t>
  </si>
  <si>
    <t>Field Day in LA</t>
  </si>
  <si>
    <t>Kickoff</t>
  </si>
  <si>
    <t>Partner</t>
  </si>
  <si>
    <t>Contribution</t>
  </si>
  <si>
    <t>Activation Months</t>
  </si>
  <si>
    <t>Outreach Needed</t>
  </si>
  <si>
    <t>Probable Event</t>
  </si>
  <si>
    <t>AFYF</t>
  </si>
  <si>
    <t>Active</t>
  </si>
  <si>
    <t>Jan - Dec</t>
  </si>
  <si>
    <t>Restore Play celebration</t>
  </si>
  <si>
    <t>Fall</t>
  </si>
  <si>
    <t>August for RP, AU in fall for possible event. $75k for each for fall. Applying for next round in July. News from them, RP milestones</t>
  </si>
  <si>
    <t>Jan - Oct</t>
  </si>
  <si>
    <t>June</t>
  </si>
  <si>
    <t>Atlanta United</t>
  </si>
  <si>
    <t>Bill Belichick Foundation</t>
  </si>
  <si>
    <t>SN</t>
  </si>
  <si>
    <t>July - Mar</t>
  </si>
  <si>
    <t>KH leading</t>
  </si>
  <si>
    <t>Chicago Cubs</t>
  </si>
  <si>
    <t>Jan - July</t>
  </si>
  <si>
    <t>Jan &amp; June</t>
  </si>
  <si>
    <t xml:space="preserve">Programmatic in 2021, strategy convo in fall, high schools potential additional focus. News from them until after renewal </t>
  </si>
  <si>
    <t>May - April</t>
  </si>
  <si>
    <t>Transitioning to Bryan</t>
  </si>
  <si>
    <t>Curry Brand</t>
  </si>
  <si>
    <t>May - December</t>
  </si>
  <si>
    <t>DSG</t>
  </si>
  <si>
    <t>News from them / Diamond IR just sent</t>
  </si>
  <si>
    <t>Dunkin Brands</t>
  </si>
  <si>
    <t>AK working on IR (checking eval), wait till after</t>
  </si>
  <si>
    <t>Elizabeth Morse</t>
  </si>
  <si>
    <t>KH working on renewal</t>
  </si>
  <si>
    <t>Oct - April</t>
  </si>
  <si>
    <t>Finishing this month, $1-4k in equipment. Providing info/need in June. August/Sept renewal. AK meets every other week. - News from them, GS milestones</t>
  </si>
  <si>
    <t>Fishlinger Family Foundation</t>
  </si>
  <si>
    <t>Jan - Nov</t>
  </si>
  <si>
    <t>July - Dec</t>
  </si>
  <si>
    <t>GA SHAPE</t>
  </si>
  <si>
    <t>GEICO MA</t>
  </si>
  <si>
    <t>3x/year</t>
  </si>
  <si>
    <t>GEICO NYC</t>
  </si>
  <si>
    <t>Sept - August</t>
  </si>
  <si>
    <t>2 unveiling TBD</t>
  </si>
  <si>
    <t>Nothing.</t>
  </si>
  <si>
    <t>Green Bay Packers</t>
  </si>
  <si>
    <t>HarborOne Foundation</t>
  </si>
  <si>
    <t>July - Apr</t>
  </si>
  <si>
    <t>Houston Dynamo</t>
  </si>
  <si>
    <t>Sept</t>
  </si>
  <si>
    <t>New GM</t>
  </si>
  <si>
    <t>2 middle schools</t>
  </si>
  <si>
    <t>Jeffrey and Mary Smith Foundation</t>
  </si>
  <si>
    <t>KDP</t>
  </si>
  <si>
    <t>News from them, RP milestones/ AK check with Mel on sharing restore play update</t>
  </si>
  <si>
    <t>CK</t>
  </si>
  <si>
    <t>Jan - May</t>
  </si>
  <si>
    <t>Magnolia</t>
  </si>
  <si>
    <t>Lapsed</t>
  </si>
  <si>
    <t>Hold off until after September</t>
  </si>
  <si>
    <t xml:space="preserve">News from them until after renewal </t>
  </si>
  <si>
    <t>2021 proposal in discussion</t>
  </si>
  <si>
    <t>All-Star</t>
  </si>
  <si>
    <t>MLB RBI (Urban Youth Fund)</t>
  </si>
  <si>
    <t>MLB YDF</t>
  </si>
  <si>
    <t>National Recreation Foundation</t>
  </si>
  <si>
    <t>MH</t>
  </si>
  <si>
    <t>New Balance</t>
  </si>
  <si>
    <t>Good relationship w/ Amy. Reach out for news from them, GS milestones</t>
  </si>
  <si>
    <t>May - August</t>
  </si>
  <si>
    <t>Remove</t>
  </si>
  <si>
    <t>NFL Foundation</t>
  </si>
  <si>
    <t>Fall stewardship</t>
  </si>
  <si>
    <t>Parker Foundation</t>
  </si>
  <si>
    <t>Sneakers with Soul</t>
  </si>
  <si>
    <t>Stack Sports</t>
  </si>
  <si>
    <t>Stevens Foundation</t>
  </si>
  <si>
    <t>AK &amp; MC</t>
  </si>
  <si>
    <t>May - September</t>
  </si>
  <si>
    <t>Jan - June</t>
  </si>
  <si>
    <t>Under Armour She Who Plays</t>
  </si>
  <si>
    <t>Wilson Ball Drive + Nom.</t>
  </si>
  <si>
    <t>Switched from AK to DM, new contact not responsive after initial call. MH</t>
  </si>
  <si>
    <t>Washington NFL Team</t>
  </si>
  <si>
    <t>UL</t>
  </si>
  <si>
    <t>May - October</t>
  </si>
  <si>
    <t>Switched from AK to BM</t>
  </si>
  <si>
    <t>Model</t>
  </si>
  <si>
    <t>Budget Min</t>
  </si>
  <si>
    <t>Time Needed</t>
  </si>
  <si>
    <t>Number of Volunteers</t>
  </si>
  <si>
    <t>Programmatic - Drop Ship</t>
  </si>
  <si>
    <t>Ship equipment to designated geography</t>
  </si>
  <si>
    <t>Programmatic - Kits</t>
  </si>
  <si>
    <t>Pack kits at FH and ship to designated geography</t>
  </si>
  <si>
    <t>Programmatic - Play Packs</t>
  </si>
  <si>
    <t>Pack Play Packs at FH and ship to designated geography</t>
  </si>
  <si>
    <t xml:space="preserve">Programmatic - Deconstructed Play Packs </t>
  </si>
  <si>
    <t>Ship equipment to designated geography, partner packs the Play Packs</t>
  </si>
  <si>
    <t>Field House Volunteer Event</t>
  </si>
  <si>
    <t>Pick-Pack-Play Event</t>
  </si>
  <si>
    <t>25-35</t>
  </si>
  <si>
    <t>Equipment brought to company HQ or community site for  "pop up warehouse". Corporate volunteers pack kits to be donated locally. Play activation is possible add-on, where volunteers go to community site to see kids playing with equipment.</t>
  </si>
  <si>
    <t>Field Day Event</t>
  </si>
  <si>
    <t>10-12 weeks</t>
  </si>
  <si>
    <t>Equipment donated to program and event hosted at their facility for corporate volunteers to lead kids through play stations.</t>
  </si>
  <si>
    <t>Unboxing Event</t>
  </si>
  <si>
    <t>Equipment donated to program and Good Sports staff remotely coordinates with recipient program for kids to open boxes and start playing with equipment while corporate volunteers get to observe.</t>
  </si>
  <si>
    <t>Equipment donated to program and Good Sports staff creates display at community site to showcase donation and present it to recipients. Kids can start playing with it after.</t>
  </si>
  <si>
    <t>* Custom equipment, apparel or bags adds additional two weeks</t>
  </si>
  <si>
    <t>Strategy</t>
  </si>
  <si>
    <r>
      <t>·</t>
    </r>
    <r>
      <rPr>
        <sz val="7"/>
        <color theme="1"/>
        <rFont val="Times New Roman"/>
        <family val="1"/>
      </rPr>
      <t xml:space="preserve">         </t>
    </r>
    <r>
      <rPr>
        <sz val="11"/>
        <color theme="1"/>
        <rFont val="Calibri"/>
        <family val="2"/>
        <scheme val="minor"/>
      </rPr>
      <t>Minimum 1x per quarter if doesn’t happen organically (i.e. we see a news piece)</t>
    </r>
  </si>
  <si>
    <r>
      <t>·</t>
    </r>
    <r>
      <rPr>
        <sz val="7"/>
        <color theme="1"/>
        <rFont val="Times New Roman"/>
        <family val="1"/>
      </rPr>
      <t xml:space="preserve">         </t>
    </r>
    <r>
      <rPr>
        <sz val="11"/>
        <color theme="1"/>
        <rFont val="Calibri"/>
        <family val="2"/>
        <scheme val="minor"/>
      </rPr>
      <t>Mix of Good Sports updates and acknowledging their news/accomplishments</t>
    </r>
  </si>
  <si>
    <r>
      <t>·</t>
    </r>
    <r>
      <rPr>
        <sz val="7"/>
        <color theme="1"/>
        <rFont val="Times New Roman"/>
        <family val="1"/>
      </rPr>
      <t xml:space="preserve">         </t>
    </r>
    <r>
      <rPr>
        <sz val="11"/>
        <color theme="1"/>
        <rFont val="Calibri"/>
        <family val="2"/>
        <scheme val="minor"/>
      </rPr>
      <t>Should always be thoughtful/unique to partner, not just a copy/paste that we’re clearly sending to everyone (i.e. sending MLB partnership news to donor who likes baseball)</t>
    </r>
  </si>
  <si>
    <r>
      <t>o</t>
    </r>
    <r>
      <rPr>
        <sz val="7"/>
        <color theme="1"/>
        <rFont val="Times New Roman"/>
        <family val="1"/>
      </rPr>
      <t xml:space="preserve">   </t>
    </r>
    <r>
      <rPr>
        <sz val="11"/>
        <color theme="1"/>
        <rFont val="Calibri"/>
        <family val="2"/>
        <scheme val="minor"/>
      </rPr>
      <t>Calling out their news should be organic and genuine (I was watching a game and saw ___, proud to partner with you), link to outside source article</t>
    </r>
  </si>
  <si>
    <r>
      <t>o</t>
    </r>
    <r>
      <rPr>
        <sz val="7"/>
        <color theme="1"/>
        <rFont val="Times New Roman"/>
        <family val="1"/>
      </rPr>
      <t xml:space="preserve">   </t>
    </r>
    <r>
      <rPr>
        <sz val="11"/>
        <color theme="1"/>
        <rFont val="Calibri"/>
        <family val="2"/>
        <scheme val="minor"/>
      </rPr>
      <t>Important to send news bites close to when they happen</t>
    </r>
  </si>
  <si>
    <r>
      <t>·</t>
    </r>
    <r>
      <rPr>
        <sz val="7"/>
        <color theme="1"/>
        <rFont val="Times New Roman"/>
        <family val="1"/>
      </rPr>
      <t xml:space="preserve">         </t>
    </r>
    <r>
      <rPr>
        <sz val="11"/>
        <color theme="1"/>
        <rFont val="Calibri"/>
        <family val="2"/>
        <scheme val="minor"/>
      </rPr>
      <t>Be careful of competitor overlap (equipment partners, retail, etc)</t>
    </r>
  </si>
  <si>
    <r>
      <t>·</t>
    </r>
    <r>
      <rPr>
        <sz val="7"/>
        <color theme="1"/>
        <rFont val="Times New Roman"/>
        <family val="1"/>
      </rPr>
      <t xml:space="preserve">         </t>
    </r>
    <r>
      <rPr>
        <sz val="11"/>
        <color theme="1"/>
        <rFont val="Calibri"/>
        <family val="2"/>
        <scheme val="minor"/>
      </rPr>
      <t>All groups to steward/share GS updates</t>
    </r>
  </si>
  <si>
    <r>
      <t>o</t>
    </r>
    <r>
      <rPr>
        <sz val="7"/>
        <color theme="1"/>
        <rFont val="Times New Roman"/>
        <family val="1"/>
      </rPr>
      <t xml:space="preserve">   </t>
    </r>
    <r>
      <rPr>
        <sz val="11"/>
        <color theme="1"/>
        <rFont val="Calibri"/>
        <family val="2"/>
        <scheme val="minor"/>
      </rPr>
      <t>Personal pipelines</t>
    </r>
  </si>
  <si>
    <r>
      <t>o</t>
    </r>
    <r>
      <rPr>
        <sz val="7"/>
        <color theme="1"/>
        <rFont val="Times New Roman"/>
        <family val="1"/>
      </rPr>
      <t xml:space="preserve">   </t>
    </r>
    <r>
      <rPr>
        <sz val="11"/>
        <color theme="1"/>
        <rFont val="Calibri"/>
        <family val="2"/>
        <scheme val="minor"/>
      </rPr>
      <t>Current partners</t>
    </r>
  </si>
  <si>
    <r>
      <t>o</t>
    </r>
    <r>
      <rPr>
        <sz val="7"/>
        <color theme="1"/>
        <rFont val="Times New Roman"/>
        <family val="1"/>
      </rPr>
      <t xml:space="preserve">   </t>
    </r>
    <r>
      <rPr>
        <sz val="11"/>
        <color theme="1"/>
        <rFont val="Calibri"/>
        <family val="2"/>
        <scheme val="minor"/>
      </rPr>
      <t>Inactive partners – supported us before but not in past year</t>
    </r>
  </si>
  <si>
    <r>
      <t>o</t>
    </r>
    <r>
      <rPr>
        <sz val="7"/>
        <color theme="1"/>
        <rFont val="Times New Roman"/>
        <family val="1"/>
      </rPr>
      <t xml:space="preserve">   </t>
    </r>
    <r>
      <rPr>
        <sz val="11"/>
        <color theme="1"/>
        <rFont val="Calibri"/>
        <family val="2"/>
        <scheme val="minor"/>
      </rPr>
      <t>YPBs</t>
    </r>
  </si>
  <si>
    <r>
      <t>o</t>
    </r>
    <r>
      <rPr>
        <sz val="7"/>
        <color theme="1"/>
        <rFont val="Times New Roman"/>
        <family val="1"/>
      </rPr>
      <t xml:space="preserve">   </t>
    </r>
    <r>
      <rPr>
        <sz val="11"/>
        <color theme="1"/>
        <rFont val="Calibri"/>
        <family val="2"/>
        <scheme val="minor"/>
      </rPr>
      <t>Endurance event runners</t>
    </r>
  </si>
  <si>
    <r>
      <t>o</t>
    </r>
    <r>
      <rPr>
        <sz val="7"/>
        <color theme="1"/>
        <rFont val="Times New Roman"/>
        <family val="1"/>
      </rPr>
      <t xml:space="preserve">   </t>
    </r>
    <r>
      <rPr>
        <sz val="11"/>
        <color theme="1"/>
        <rFont val="Calibri"/>
        <family val="2"/>
        <scheme val="minor"/>
      </rPr>
      <t>CAB/NYAB</t>
    </r>
  </si>
  <si>
    <r>
      <t>o</t>
    </r>
    <r>
      <rPr>
        <sz val="7"/>
        <color theme="1"/>
        <rFont val="Times New Roman"/>
        <family val="1"/>
      </rPr>
      <t xml:space="preserve">   </t>
    </r>
    <r>
      <rPr>
        <sz val="11"/>
        <color theme="1"/>
        <rFont val="Calibri"/>
        <family val="2"/>
        <scheme val="minor"/>
      </rPr>
      <t>BOD</t>
    </r>
  </si>
  <si>
    <r>
      <t>o</t>
    </r>
    <r>
      <rPr>
        <sz val="7"/>
        <color theme="1"/>
        <rFont val="Times New Roman"/>
        <family val="1"/>
      </rPr>
      <t xml:space="preserve">   </t>
    </r>
    <r>
      <rPr>
        <sz val="11"/>
        <color theme="1"/>
        <rFont val="Calibri"/>
        <family val="2"/>
        <scheme val="minor"/>
      </rPr>
      <t>Major Donors (Individuals)</t>
    </r>
  </si>
  <si>
    <r>
      <t>o</t>
    </r>
    <r>
      <rPr>
        <sz val="7"/>
        <color theme="1"/>
        <rFont val="Times New Roman"/>
        <family val="1"/>
      </rPr>
      <t xml:space="preserve">   </t>
    </r>
    <r>
      <rPr>
        <sz val="11"/>
        <color theme="1"/>
        <rFont val="Calibri"/>
        <family val="2"/>
        <scheme val="minor"/>
      </rPr>
      <t>Goal Makers</t>
    </r>
  </si>
  <si>
    <r>
      <t>o</t>
    </r>
    <r>
      <rPr>
        <sz val="7"/>
        <color theme="1"/>
        <rFont val="Times New Roman"/>
        <family val="1"/>
      </rPr>
      <t xml:space="preserve">   </t>
    </r>
    <r>
      <rPr>
        <sz val="11"/>
        <color theme="1"/>
        <rFont val="Calibri"/>
        <family val="2"/>
        <scheme val="minor"/>
      </rPr>
      <t>Founders Circle</t>
    </r>
  </si>
  <si>
    <t>With twenty-eight percent of Chicago youth are living in poverty.[1] Good Sports’ support alleviates the financial burden of equipment and enables youth organizations to enhance programming, subsidize costs for families and reallocate budgets to support other essential needs. This impact creates opportunity for kids in need to experience the widespread benefits of active play. For example, Our Lady of Tepeyac Elementary in Little Village has an average income per family of less than $20,000 per year, with 89% of students qualifying for free/reduced lunch. The school’s Grant Coordinator said, “There is simply no extra money for gym and athletic equipment. Students started to quit our girls’ basketball team because morale was low and practices didn’t run well because equipment was worn down or didn't exist. We were ashamed to face other teams. Good Sports’ donation turned all of this around. We received the resources necessary to rejuvenate our program and the team that started together in 5th grade finished their time at Tepeyac with a winning record. We have never seen such enthusiasm from the students, parents and community! This donation allowed all our students to experience the fun, safe and healthy environment that all kids deserve.”</t>
  </si>
  <si>
    <t>“The opportunity to receive new soccer balls so that the families who may not be able to afford equipment can have a ball available to them at each practice is great! This is particularly true for families with multiple kids or those who are hesitant to purchase equipment until they know their child will remain in the sport.”</t>
  </si>
  <si>
    <t>-Director, Eastern York Recreation Authority in Pennsylvania</t>
  </si>
  <si>
    <t>“Many of our students come from low income households. Many times the students are neglected. One child in particular did not have any socks on his feet and he was getting blisters and infected. We were able to give him a brand new pair of socks to wear for PE class.”</t>
  </si>
  <si>
    <t>-PE Teacher, Emma E Booker Elementary in Florida</t>
  </si>
  <si>
    <t>“Not all parents felt the need to spend extra money on helmets and bats because we were able to provide high quality items in the team bags. With the TMobile grant, we had many kids sign up that had not played before and were from low income families that would not be able to buy all new gear/equipment for the season. Good Sports helped us accommodate all of these kids with the new gear without kids feeling embarrassed using our old unsafe equipment.”</t>
  </si>
  <si>
    <t>-Treasurer, Osolo Little League in Indiana</t>
  </si>
  <si>
    <t>“We have a family of 7 children whose mother is in and out of prison. We were able to include these students in all new gear, not hand me downs or donations from others. The kids were SO excited. We have paid for water to be turned on, food deliveries, but the biggest smiles were from opening some of the brand new items.”</t>
  </si>
  <si>
    <t>-Principal, Warner Public Schools in Oklahoma</t>
  </si>
  <si>
    <t>“The equipment donation for us was absolutely priceless, and honestly if I think about it too much I cry. When we took over the league, everything we had was old and tattered, and to be able to give the girls not only equipment but apparel (including sports bras) was so very special. We addressed not only physical needs but emotional needs too. We were able to [make a] statement that girls are important and valuable.”</t>
  </si>
  <si>
    <t>-Treasurer, Saugus Little League in Massachusetts</t>
  </si>
  <si>
    <t>“Most leagues cost so much and families are not able to do it. When I started a new league, I mandated that the cost was low and your equipment donation made that possible.  I had a family with 4 kids - 2 boys and 2 girls - that had never participated in any leagues or anything because they couldn’t afford it but with our league and your donations we were able to give them mouth pieces and cleats and the chance to play. Season has been amazing as we continue to reach more kids and more families.”</t>
  </si>
  <si>
    <t>-Director, The Crossings in Florida</t>
  </si>
  <si>
    <t>Aaron is a very active child, but struggled with following structured rules
and interacting with peers. He was removed from his five day a week program at the local Boys and Girls club and was only able to
participate twice per week because of his behavior challenges. Then the club received a donation from Good Sports. Aaron worked
hard to improve his behavior, and finally could return to attending five days a week and playing with the other children. When asked
what helped him adjust his behavior, Aaron said “I miss the club, and I loved using the new equipment when I came here. I wanted
to show I could be mature and trusted enough to use it.”</t>
  </si>
  <si>
    <t>Oak Grove HS - 9/16/2021, SL sent 9/21/21</t>
  </si>
  <si>
    <t>It has been one of our goals for quite a while to grow the girls' side of our program. So many girls in our community see soccer as something boys do, not girls. They don't even really consider it as something they might choose to do. Our schools do not have soccer for boys or girls until high school. So, when they are younger, unless their parents encourage them, they don't even consider it. If they have never played soccer until high school, it's not likely they will make the high school team. We started with one younger girls’ team. Once word spread and other girls saw the cool pink cleats and other great gear they received from Good Sports, so many more girls came out to join. We now have four girls’ teams, in addition to our co-ed high school-aged teams.</t>
  </si>
  <si>
    <t>Nations United Soccer (Idaho), April 2022</t>
  </si>
  <si>
    <t>The equipment donation brought pure joy and excitement to our young athletes and participants. There were many smiles to faces as they were provided with quality equipment and equipment they would not have been able to provide for themselves. The students were more engaged and had more time to practice and participate in all the different sports and extracurricular activities. We have a student that had lost their mother and grandmother to COVID and was struggling mentally. This student was able to join a club which provided the equipment to participate and be part of the team. This student was able to make new friends and we have observed an improvement in their mental health. - P.E. Teacher, Maria Saucedo Scholastic Academy (Chicago)</t>
  </si>
  <si>
    <t>Date</t>
  </si>
  <si>
    <t>Sport</t>
  </si>
  <si>
    <t>Ralph Wilson Renewal</t>
  </si>
  <si>
    <t>General</t>
  </si>
  <si>
    <t>Renewed partnership for three years to support programs in Southeast MI and Western NY</t>
  </si>
  <si>
    <t>https://www.goodsports.org/rcwjrfgoodsports/</t>
  </si>
  <si>
    <t>Curry brand at Under Armour</t>
  </si>
  <si>
    <t>Pro Athlete</t>
  </si>
  <si>
    <t>Basketball</t>
  </si>
  <si>
    <t>Donating bball equipment to boys/girls programs in NC and NY. Curry Brand also donated $1k for every point in All-Star game, which will provide equipment to Atlanta programs.</t>
  </si>
  <si>
    <t>https://about.underarmour.com/news/2021/03/2021-nba-all-star-game</t>
  </si>
  <si>
    <t>Play Packs</t>
  </si>
  <si>
    <t>Baseball/Softball</t>
  </si>
  <si>
    <t>10k baseball/softball play packs to 32 organizations across 8 cities</t>
  </si>
  <si>
    <t>https://www.prnewswire.com/news-releases/dicks-sporting-goods-and-the-dicks-sporting-goods-foundation-provide-equipment-to-10-000-baseball-and-softball-youth-athletes-on-8-city-tour-301238789.html</t>
  </si>
  <si>
    <t>MLB Players Trust</t>
  </si>
  <si>
    <t>Baseball</t>
  </si>
  <si>
    <t>MLB players can nominate programs to receive equipment support.</t>
  </si>
  <si>
    <t>https://playerstrust.org/news/players-trust-celebrates-its-25th-anniversary-with-100000-donation-to-good-sports%ef%bb%bf-donation-will-support-the-restore-play-campaign%ef%bb%bf/</t>
  </si>
  <si>
    <t>Of women who played competitive sports, 75% agree that girls who play competitive sports are more likely to be successful in their careers (Deloitte, 2023).</t>
  </si>
  <si>
    <t>Deloitte, “Impact of Sports on Women’s Professional Success”</t>
  </si>
  <si>
    <t>Regardless of personal experience playing sports, 61% of women agree that girls who play sports are likely to have successful careers. (Deloitte, 2023).</t>
  </si>
  <si>
    <t>Of female respondents who earn $100K+ annually and are in management or leadership roles, 69% have played competitive sports. (Deloitte, 2023).</t>
  </si>
  <si>
    <t xml:space="preserve">42% of high school students today say they have experienced persistent feelings of sadness or hopelessness - an increase of 28% from a decade ago (CDC, 2023). </t>
  </si>
  <si>
    <t>Nearly 3 in 5 girls feel persistent sadness or hopelessness, which is twice the rate of boys and an increase of 60% over the last decade (CDC, 2023).</t>
  </si>
  <si>
    <t>Between 2019-2022, sports participation rates of Black and Hispanic youth declined, while the number of white youth playing increased (Aspen Institute, 2023).</t>
  </si>
  <si>
    <t>Girls' sports participation rates are rising, but boys still play at a higher rate (Aspen Institute, 2023).</t>
  </si>
  <si>
    <t>Participation in older youth (13-17) dropped to 27% in 2022 - an 11% decrease from 2012 (Aspen Institute, 2023).</t>
  </si>
  <si>
    <t>Int J Environ Res Public Health</t>
  </si>
  <si>
    <t>Middle schoolers from more affluent families were three times as likely to meet physical exercise guidelines as less affluent students (Int J Environ Res Public Health, 2021).</t>
  </si>
  <si>
    <t>Physical Education</t>
  </si>
  <si>
    <t>Physical Activity Alliance</t>
  </si>
  <si>
    <t>Schools nationwide a grade of D– for physical fitness, showing a lack of access to regular physical education classes, gym time and equipment (Physical Activity Alliance, 2022).</t>
  </si>
  <si>
    <t xml:space="preserve">Schools with higher percentages of students living in poverty offer fewer sports than schools with lower percentages of students living in poverty (RAND, 2019). </t>
  </si>
  <si>
    <t>Physical Education/Recess</t>
  </si>
  <si>
    <t xml:space="preserve">Only 15% of schools require elementary schools to have daily recess (SHAPE America, 2016). </t>
  </si>
  <si>
    <t>Ernst &amp; Young</t>
  </si>
  <si>
    <t>85% percent of women who played sports shared that the skills they developed playing sports were important to success in their professional careers — the findings are even higher among women in leadership roles (91%) and women who make $100,000 or more (93%) (Deloitte, 2023).</t>
  </si>
  <si>
    <t>94% of female C-Suite executives are former athletes (Ernst &amp; Young, 2018).</t>
  </si>
  <si>
    <t>Youth from high-income homes are twice as likely to play sports than youth from low-income homes (Aspen Institute, 2023).</t>
  </si>
  <si>
    <t xml:space="preserve">For lower-income children, expense is the top reason they did not participate in sports (RAND, 2019). </t>
  </si>
  <si>
    <t>Review who is in portfolio. Those that have an “Application Approval” of Portfolio Qualifier are accepted, but we’re awaiting confirmation from them that they’re joining.  Even if they don’t join we’ll give them access to the Donation Request Center as a core program for the next two years.</t>
  </si>
  <si>
    <t>Program</t>
  </si>
  <si>
    <t>Development</t>
  </si>
  <si>
    <t>New Applications - Portfolio</t>
  </si>
  <si>
    <t>Participation Data</t>
  </si>
  <si>
    <t>Click here to see participation rates by state, by gender, by age</t>
  </si>
  <si>
    <t>Rates of mental health disorders are 5 times lower for girls who play multiple sports compared to girls who do not play (Women's Sports Foundation, 2025).</t>
  </si>
  <si>
    <t>Girls with strong relationships with a coach report lower levels of anxiety and depression compared to girls who do not (Women's Sports Foundation, 2025).</t>
  </si>
  <si>
    <t>Girls identifying as BIPOC (Black, Indigenous, people of color) are less likely to play sports than girls who identify as white (Women's Sports Foundation, 2025).</t>
  </si>
  <si>
    <t>Girls who play sports report stronger peer relationships and a higher sense of meaning and purpose compared to girls who do not play (Women's Sports Foundation, 2025).</t>
  </si>
  <si>
    <t>Girls who play sports have lower levels of depressive and anxiety symptoms, stronger peer relationships and are more likely to be involved in other extracurricular and community service activities (Women's Sports Foundation, 2025).</t>
  </si>
  <si>
    <t>Mental Health</t>
  </si>
  <si>
    <t>Old Dominion University</t>
  </si>
  <si>
    <t>Research found children who are physically inactive are twice as likely to experience mental health problems as those who meet weekly recommendations (Old Dominion University, 2025).</t>
  </si>
  <si>
    <t>The average U.S. sports family spent $1,016 on their child’s primary sport in 2024, a 46% increase since 2019 (Aspen Institute, 2024).</t>
  </si>
  <si>
    <t>7 out of 10 children at or below the poverty line are not paritcipating in sports (PCSFN Science Board, 2020).</t>
  </si>
  <si>
    <t>PCSFN Science Board</t>
  </si>
  <si>
    <t>High</t>
  </si>
  <si>
    <t>Priority for Updated Stat</t>
  </si>
  <si>
    <t>Medium</t>
  </si>
  <si>
    <t>Low</t>
  </si>
  <si>
    <t>National Insitute of Health</t>
  </si>
  <si>
    <t>Steps</t>
  </si>
  <si>
    <t>Private equity investment in sports</t>
  </si>
  <si>
    <t>Olympics – lack of access and maybe viewership in lower-income communities</t>
  </si>
  <si>
    <t>Refresh on outdated stats (pre 2020 but also ones that will expire soon - 2020-21)</t>
  </si>
  <si>
    <t>Purpose</t>
  </si>
  <si>
    <t>~ Goal is to refresh our stat database using the latest data (past five years) to replace outdated stats and add new content relevant to our mission and work.</t>
  </si>
  <si>
    <t xml:space="preserve">~ Many stats we've relied on are past our five year "expiration date". And we don't have capacity to keep up with latest research. </t>
  </si>
  <si>
    <t>~ Good Sports uses stats to prove our work is necessary. From individual donors to brands, these stats are essential for explaining the gap in youth sports driven by the cost to play, the detrminetal impact on kids as a result - and also why brands partnering with Good Sports to elevate their sports sponsorships is a strategic investment.</t>
  </si>
  <si>
    <t>Hydration/nutrition - how it impacts kids in sports and evidence of lack of access to hydration for children in low-income communities</t>
  </si>
  <si>
    <t>This article: https://apnews.com/article/children-health-maha-rfk-jr-jama-d920bb5421bfdc2c83d4356986e9ade7</t>
  </si>
  <si>
    <t>If there's time</t>
  </si>
  <si>
    <t>Note: if there are compelling stats from 2018-19 and nothing more recent for that stat, please still include it.</t>
  </si>
  <si>
    <t>Girls' challenges in sports access and benefits</t>
  </si>
  <si>
    <t>Women’s sports as a worthwhile investment for brands and evident growth in popularity</t>
  </si>
  <si>
    <t>Soccer access in low-income US communities, also the growth in popularity in US, projected impact of upcoming men and women's World Cups on the sport's popularity</t>
  </si>
  <si>
    <t>Research focus areas (in order of priority):</t>
  </si>
  <si>
    <t>Stat updated? (see comment)</t>
  </si>
  <si>
    <t xml:space="preserve">Instructions: add a new stat to the bottom of the list and highlight the first cell in yellow to show it's new. Fill out all the columns and for the stat column, don't copy/paste the words directly but put it in a concise sentence and add the source and year at the end of the sentence. See existing stats for example.  </t>
  </si>
  <si>
    <t>~ Research other focus areas below. They are in order of priority.</t>
  </si>
  <si>
    <t>~ Add any other research you think relevant/interesting!</t>
  </si>
  <si>
    <t>~ Seek new stats in each category, paying attention to the priority for updated stat column (E) so that you can look for similar stats within the past five years.</t>
  </si>
  <si>
    <t>~ Review Research tab current stats (2020-today) and older stats to familiarize with different categories we're looking for.</t>
  </si>
  <si>
    <t>~ Highest needs are stats that show cost is keeping kids out of sports and evidence of how important sports are to youth development (ages 5-18).</t>
  </si>
  <si>
    <t>~ Review Good Sports materials (one pagers, brand deck) to familiarize with our work and how we communicate with individual donors and brands.</t>
  </si>
  <si>
    <t xml:space="preserve">   Review attachment "FINAL 2025 Topline Report" from SFIA to see if there are any stats worth recording</t>
  </si>
  <si>
    <t>GEN Youth Now</t>
  </si>
  <si>
    <t>Fewer than 1 in 4 youth ages 6 to 17 get the recommended 60 minutes of daily physical activity. (GEN Youth, 2024)</t>
  </si>
  <si>
    <t>Yes (ROW 79)</t>
  </si>
  <si>
    <t>GEN Youth Now (CRF/American Heart Association Scientific Statement)</t>
  </si>
  <si>
    <t>Nearly 60% of American children lack cardiorespiratory fitness (CRF). (GEN Youth, 2024)</t>
  </si>
  <si>
    <t>Yes (ROW 81)</t>
  </si>
  <si>
    <t>Regular physical activity can help children and adolescents improve cardiorespiratory fitness, build strong bones and muscles, control weight, reduce symptoms of anxiety and depression, and reduce the risk of developing health conditions such as heart disease, cancer, Type 2 diabetes, osteoporosis, and obesity. (GEN Youth, 2024)</t>
  </si>
  <si>
    <t>Yes (ROW 82)</t>
  </si>
  <si>
    <t>Students who are physically active report eating healthy more often and tend to have better grades, school attendance, cognitive performance, and classroom behaviors (GEN Youth, 2024)</t>
  </si>
  <si>
    <t>Less than half of youth (49%) are required to take P.E. every year. P.E. class is offered as an elective for about a third of youth (36%). The majority (64%) who are taking P.E. class have it 4 or fewer days per week. (GEN Youth, 2024)</t>
  </si>
  <si>
    <t>Yes (ROW 83)</t>
  </si>
  <si>
    <t>Girls/ Physical Edcation</t>
  </si>
  <si>
    <t>Fewer than half of students (47%) say participating in P.E. class is a mostly positive experience, and 12% said they actually dread the P.E. participation requirement. (GEN Youth, 2024)</t>
  </si>
  <si>
    <t>Dreading It. What makes some dread versus enjoy P.E. class? 59% of those who dread the P.E. requirement are female. (GEN Youth, 2024)</t>
  </si>
  <si>
    <t>More than three-quarters of those who dread P.E. class say they have a lack of choice in activities. (GEN Youth, 2024)</t>
  </si>
  <si>
    <t>Those who enjoy P.E. class are much more likely to say their classes include social skills and instruction about healthy eating and physical activity behaviors. (GEN Youth 2024)</t>
  </si>
  <si>
    <t>Updated (ROW 19)</t>
  </si>
  <si>
    <t>Updated (ROW 26)</t>
  </si>
  <si>
    <t>New Data</t>
  </si>
  <si>
    <t>Updated (ROW 12)</t>
  </si>
  <si>
    <t>Updated (ROW 47)</t>
  </si>
  <si>
    <t>Encouragingly, youth recognize that physical activity improves self-confidence (cited by 91% of students GENYOUth surveyed), appearance (87%), mood and anxiety (86%) (GEN Youth,2024)</t>
  </si>
  <si>
    <t>GenYouth Now</t>
  </si>
  <si>
    <t>Youth recognize that physical activity improves energy (89%) (GEN Youth, 2024)</t>
  </si>
  <si>
    <t>Youth recognize that physical activity improves academic performance (77%) (GEN Youth, 2024)</t>
  </si>
  <si>
    <t>30% of those who are least active dropped out of sports/activities because they weren’t fun anymore. (GEN Youth, 2024)</t>
  </si>
  <si>
    <t>42% of students say they want P.E. teachers who will guide them toward activities they can succeed at; who can support less skilled students; and who can inspire in everyone a love for sports and movement, not just the athletically inclined. (GEN Youth, 2024)</t>
  </si>
  <si>
    <t>Among youth who say they eat healthy all or most of the time, nearly three-quarter (73%) are active 7 days a week. Among the least active youth (active 2 days a week or less), only a third (36%) say they eat healthy on a regular basis. (GEN Youth, 2024)</t>
  </si>
  <si>
    <t>Low Activity Level (&gt; 3 times/week)</t>
  </si>
  <si>
    <t>Moderate Activity Level (3-5 times/week)</t>
  </si>
  <si>
    <t>High Activity Level (6-7 times/week)</t>
  </si>
  <si>
    <t>Eat a Healthy Meal</t>
  </si>
  <si>
    <t>Think About How Healthy and Nutritious the Foods I Eat Are</t>
  </si>
  <si>
    <t>Yes (ROW 94)</t>
  </si>
  <si>
    <t>Project Play</t>
  </si>
  <si>
    <t>There are 50 million children in the United States between ages 6 and 17, according to the U.S. Census. About 27.3 million – 54.6% according to the National Children’s Health Survey – played organized sports in the most recent data made available by the federal government, in the combined years of 2022 and 2023. That’s down from 56.1% in 2019, but up from the low mark of 48.5% in 2021 during the pandemic. (Solomon, 2025)</t>
  </si>
  <si>
    <t>Updated (ROW 25)</t>
  </si>
  <si>
    <t>Yes (ROW 95)</t>
  </si>
  <si>
    <t>In the 2024 survey, parents estimated their sports costs ranged from nothing to almost $25,000. The wealthiest families ($100,000 or more household income) spent $1,471 more annually on their child’s primary sport than the lowest-income parents (under $50,000 income). Middle-class households were closer in spending to the lowest-income families than the wealthiest. (Solomon, 2025)</t>
  </si>
  <si>
    <t>Updated (ROW 28)</t>
  </si>
  <si>
    <t>GEN Youth (ROW 93)</t>
  </si>
  <si>
    <t>Project Play (ROW 95)</t>
  </si>
  <si>
    <t>Average amount spent in past year for all of child's sports</t>
  </si>
  <si>
    <t>$0-$49,999</t>
  </si>
  <si>
    <t>$50,000-$99,999</t>
  </si>
  <si>
    <t>$100,000 or more</t>
  </si>
  <si>
    <t>Source: Youth Sports Parent Survey, Aspen Institute Project Play initiative, Utah State University Families in Sport Lab, Louisiana Tech University Mind in Motion Lab.</t>
  </si>
  <si>
    <t>Annual Family Youth Sports Spnding - Income</t>
  </si>
  <si>
    <t>Consider how much more expensive it now is to play one of the three most popular sports among children – baseball, soccer and basketball. Within five years, the average basketball parent spent 105% more on their child in that sport. Parents in soccer (69%) and baseball (68%) also paid significantly more. (Solomon, 2025)</t>
  </si>
  <si>
    <t>Project Play (ROW 96)</t>
  </si>
  <si>
    <t>Average Annual Family Spending by Sport</t>
  </si>
  <si>
    <t>Soccer</t>
  </si>
  <si>
    <t>% Increase</t>
  </si>
  <si>
    <t>Black student-athlete graduation rates have increased from 56% to 82%. When analyzed by sport, Black Football Bowl Subdivision student-athlete rates have increased from 54% to 82%, and Black men's basketball student-athlete rates have increased from 46% to 84%. Hispanic/Latino student-athlete rates have increased from 64% to 89%. (Heath, 2024)</t>
  </si>
  <si>
    <t>NCAA</t>
  </si>
  <si>
    <t>Baseball student-athlete graduation rates have increased from 66% to 91%. Football Bowl Subdivision rates have increased from 63% to 85%, while Football Championship Subdivision rates have increased from 62% to 80%. Men's wrestling rates have increased from 61% to 88%. Men's basketball rates have increased from 56% to 87%, and women's basketball rates have increased from 80% to 93%. (Heath, 2024)</t>
  </si>
  <si>
    <t>This year, all women's sports recorded a graduation rate of 92% or better, with gymnastics and lacrosse earning the highest marks at 99%. (Heath, 2024)</t>
  </si>
  <si>
    <t>Additionally, all men's sports recorded a graduation rate of 80% or better, with tennis having the highest rate of 95%. 
(Heath, 2024)</t>
  </si>
  <si>
    <t>Beyond Sport</t>
  </si>
  <si>
    <t>Girls aged 6-12 (34%) and 13-17 (38%) played at higher levels in 2023 than in any recent year dating to at least 2012. In 2013, half of boys aged 6-17 participated regularly in sports according to Sports and Fitness Industry Association (SFIA) data. Only 41% of boys did in 2023. Federal government data shows a decline for boys over the past decade. (Beyond, 2024)</t>
  </si>
  <si>
    <t>Yes (ROW 103)</t>
  </si>
  <si>
    <t>Black children are playing sports far less than they once did and Hispanic children are playing more. Only 35% of Black youth aged 6-17 regularly participated in sports during 2023, down from 45% in 2013, when Black children played at a higher rate than White peers. White, Hispanic and Asian children played sports more frequently in 2023 than Black youth. Participation by Hispanic children increased 14% in 2023 to its highest since 2016. (Beyond, 2024)</t>
  </si>
  <si>
    <t>Updated (ROW 11)</t>
  </si>
  <si>
    <t>White parents spent almost twice the amount on their child’s primary sport than Black parents. Parents who identified as Hispanic or Latino reported spending nearly the same amount ($1,068) as White parents ($1,124) on their child’s primary sport. (Solomon, 2025)</t>
  </si>
  <si>
    <t>Parents value trustworthy and trained coaches. More than half of surveyed parents say that a trustworthy coach would increase their enthusiasm to commit their child to the long-term activity, recommend the activity to other parents and enroll their child in more activities. (Beyond, 2024)</t>
  </si>
  <si>
    <t>States are recognizing the value of mental health training for coaches. In 2024, seven high school state athletic associations required training for school coaches in mental health. (Beyond, 2024)</t>
  </si>
  <si>
    <t>Social cognitive theory (Bandura, 2004) suggests that parent physical activity, also known as role modeling, may influence child physical activity directly through observational learning...A recent review, based largely on cross-sectional studies, found weak but positive associations (r = 0.10 to 0.20) between parent physical activity behavior (modeling) and child physical activity (Springer Nature, 2024)</t>
  </si>
  <si>
    <t>Yes (ROW 106)</t>
  </si>
  <si>
    <t>Updated (ROW 8)</t>
  </si>
  <si>
    <t>Springer Nature</t>
  </si>
  <si>
    <t>Mental health disorders are 1.5 to 2.5 times lower for girls who play sports vs those who never played. (Women's Sports Foundation, 2024)</t>
  </si>
  <si>
    <t>Women's Sports Foundation</t>
  </si>
  <si>
    <t>Girls/ Mental Health</t>
  </si>
  <si>
    <t>29% of girls who never played sports have moderate-to-high levels of depression symptoms vs. 17% of girls who currently play. (Women's Sports Foundation, 2024)</t>
  </si>
  <si>
    <t>21% of girls who never played sports have moderate-to-high levels of anxiety symptoms vs. 11% of girls who currently play. (Women's Sports Foundation, 2024)</t>
  </si>
  <si>
    <t>Girls/ Participation Data</t>
  </si>
  <si>
    <t>Girls who play sports report 1.5 times higher levels of meaning and purpose compared to those who never played. (Women's Sports Foundation, 2024)</t>
  </si>
  <si>
    <t>In sport settings that focus on effort, improvement, and teamwork, depression symptoms are significantly lower (3%) vs. settings where winning is the main goal and success is defined by ability compared to others (24.7%.) (Women's Sports Foundation, 2024)</t>
  </si>
  <si>
    <t>In sport settings where girls have more “voice and choice” over goals and activities, depression symptoms are significantly lower (4%) vs. settings where they don’t have that opportunity (35.1%.) (Women's Sports Foundation, 2024)</t>
  </si>
  <si>
    <t>Girls who have strong relationships with their coach report lower levels of depression (13.4%) and anxiety (8.9%) sympotoms compared to girls who don’t (28.9% and 21%, respectively.) (Women's Sports Foundation, 2024)</t>
  </si>
  <si>
    <t>Rates of cinical depression are 3.3 times lower for girls who play more than one sport comapred to those who don’t play. (Women's Sports Foundation, 2024)</t>
  </si>
  <si>
    <t>Girls who play sports for 5+ years are 3.6 times less likely to be clinically depressed than girls who don’t play. (Women's Sports Foundation, 2024)</t>
  </si>
  <si>
    <t>Rates of mental health disorders are 5 times lower for girls whoplay multiple sports and have played sports for 5+ years, compared to girls who don’t play. (Women's Sports Foundation, 2024)</t>
  </si>
  <si>
    <t>The biggest challenges schools face in launching their own athletic programs, said Solomon, is a lack of facilities, such as gyms and fields, and educators or other adults who are willing to coach the teams, schedule games, and procure uniforms and equipment. (Prothero, 2023)</t>
  </si>
  <si>
    <t>EducationWeek</t>
  </si>
  <si>
    <t>Yes (ROW 117)</t>
  </si>
  <si>
    <t>Updated (ROW  13)</t>
  </si>
  <si>
    <t>Updated (ROW 4)</t>
  </si>
  <si>
    <t>Sports participation is much lower among children from low-income families than among those from high-income families. A quarter of kids from families earning less than $25,000 a year participate in regular sports, compared with 39 percent of kids in families earning more than $100,000 a year, according to the report. (Prothero, 2023)</t>
  </si>
  <si>
    <t>While sports participation among 6- to 12-year-olds from low-income families has gone up over the past four years, participation among 13- to 17-year-olds in that income bracket continues to decrease, dropping from 38 percent in 2012 to 27 percent in 2022. (Prothero, 2023)</t>
  </si>
  <si>
    <t>Yes (ROW 118, 119)</t>
  </si>
  <si>
    <t>Chris Thomas, chief business official for Petaluma City Schools, told the Argus-Courier the school district budget is approximately $450,000 for secondary (7-12) school sports. The high school athletic budgets are approximately $350,000 combined, she said. (Jackson, 2023)</t>
  </si>
  <si>
    <t>Dole estimates that it costs about $200,000 a year to fund all athletics at Petaluma High School, with about half of that paid for by the Booster Club, which raises its money through donations and fundraising events. (Jackson, 2023)</t>
  </si>
  <si>
    <t>Petaluma</t>
  </si>
  <si>
    <t>Yes (ROW 120, 121)</t>
  </si>
  <si>
    <t>Updated (ROW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</si>
</sst>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_(&quot;$&quot;* #,##0_);_(&quot;$&quot;* \(#,##0\);_(&quot;$&quot;* &quot;-&quot;??_);_(@_)"/>
  </numFmts>
  <fonts count="33">
    <font>
      <sz val="11"/>
      <color theme="1"/>
      <name val="Calibri"/>
      <family val="2"/>
      <scheme val="minor"/>
    </font>
    <font>
      <u/>
      <sz val="11"/>
      <color theme="10"/>
      <name val="Calibri"/>
      <family val="2"/>
      <scheme val="minor"/>
    </font>
    <font>
      <b/>
      <sz val="11"/>
      <color theme="0"/>
      <name val="Calibri"/>
      <family val="2"/>
      <scheme val="minor"/>
    </font>
    <font>
      <sz val="11"/>
      <color rgb="FF104470"/>
      <name val="Calibri"/>
      <family val="2"/>
      <scheme val="minor"/>
    </font>
    <font>
      <b/>
      <sz val="11"/>
      <color rgb="FF104470"/>
      <name val="Calibri"/>
      <family val="2"/>
      <scheme val="minor"/>
    </font>
    <font>
      <u/>
      <sz val="9"/>
      <color theme="10"/>
      <name val="Calibri"/>
      <family val="2"/>
      <scheme val="minor"/>
    </font>
    <font>
      <sz val="9"/>
      <color theme="1"/>
      <name val="Calibri"/>
      <family val="2"/>
      <scheme val="minor"/>
    </font>
    <font>
      <b/>
      <sz val="9"/>
      <color theme="0"/>
      <name val="Calibri"/>
      <family val="2"/>
      <scheme val="minor"/>
    </font>
    <font>
      <u/>
      <sz val="10"/>
      <color theme="10"/>
      <name val="Calibri"/>
      <family val="2"/>
      <scheme val="minor"/>
    </font>
    <font>
      <sz val="9"/>
      <color rgb="FF104470"/>
      <name val="Calibri"/>
      <family val="2"/>
      <scheme val="minor"/>
    </font>
    <font>
      <sz val="8"/>
      <name val="Calibri"/>
      <family val="2"/>
      <scheme val="minor"/>
    </font>
    <font>
      <sz val="11"/>
      <color theme="1"/>
      <name val="Calibri"/>
      <family val="2"/>
      <scheme val="minor"/>
    </font>
    <font>
      <sz val="11"/>
      <color rgb="FF7030A0"/>
      <name val="Wingdings"/>
      <charset val="2"/>
    </font>
    <font>
      <sz val="11"/>
      <name val="Calibri"/>
      <family val="2"/>
      <scheme val="minor"/>
    </font>
    <font>
      <sz val="11"/>
      <color rgb="FFFF0000"/>
      <name val="Calibri"/>
      <family val="2"/>
      <scheme val="minor"/>
    </font>
    <font>
      <sz val="11"/>
      <color theme="0"/>
      <name val="Calibri"/>
      <family val="2"/>
      <scheme val="minor"/>
    </font>
    <font>
      <sz val="10"/>
      <color rgb="FF104470"/>
      <name val="Calibri"/>
      <family val="2"/>
      <scheme val="minor"/>
    </font>
    <font>
      <b/>
      <sz val="10"/>
      <color rgb="FF104470"/>
      <name val="Calibri"/>
      <family val="2"/>
      <scheme val="minor"/>
    </font>
    <font>
      <sz val="12"/>
      <color theme="1"/>
      <name val="Calibri"/>
      <family val="2"/>
      <scheme val="minor"/>
    </font>
    <font>
      <b/>
      <sz val="10"/>
      <color theme="0"/>
      <name val="Calibri"/>
      <family val="2"/>
      <scheme val="minor"/>
    </font>
    <font>
      <sz val="11"/>
      <color theme="1"/>
      <name val="Symbol"/>
      <family val="1"/>
      <charset val="2"/>
    </font>
    <font>
      <sz val="7"/>
      <color theme="1"/>
      <name val="Times New Roman"/>
      <family val="1"/>
    </font>
    <font>
      <sz val="11"/>
      <color theme="1"/>
      <name val="Courier New"/>
      <family val="3"/>
    </font>
    <font>
      <sz val="12"/>
      <color theme="1"/>
      <name val="Cambria"/>
      <family val="1"/>
    </font>
    <font>
      <i/>
      <sz val="12"/>
      <color theme="1"/>
      <name val="Cambria"/>
      <family val="1"/>
    </font>
    <font>
      <sz val="11"/>
      <color theme="4" tint="-0.499984740745262"/>
      <name val="Calibri"/>
      <family val="2"/>
      <scheme val="minor"/>
    </font>
    <font>
      <b/>
      <sz val="11"/>
      <color theme="1"/>
      <name val="Calibri"/>
      <family val="2"/>
      <scheme val="minor"/>
    </font>
    <font>
      <sz val="8"/>
      <name val="Arial"/>
      <family val="2"/>
    </font>
    <font>
      <sz val="11"/>
      <color rgb="FF000000"/>
      <name val="Calibri"/>
      <family val="2"/>
      <scheme val="minor"/>
    </font>
    <font>
      <sz val="11"/>
      <color theme="1"/>
      <name val="System-Ui"/>
      <charset val="1"/>
    </font>
    <font>
      <sz val="11"/>
      <color rgb="FF000000"/>
      <name val="Calibri (Body)"/>
    </font>
    <font>
      <sz val="11"/>
      <color rgb="FF1F1F1F"/>
      <name val="Calibri"/>
      <family val="2"/>
      <scheme val="minor"/>
    </font>
    <font>
      <sz val="11"/>
      <color theme="1"/>
      <name val="Calibri "/>
    </font>
  </fonts>
  <fills count="7">
    <fill>
      <patternFill patternType="none"/>
    </fill>
    <fill>
      <patternFill patternType="gray125"/>
    </fill>
    <fill>
      <patternFill patternType="solid">
        <fgColor rgb="FFB0BC36"/>
        <bgColor indexed="64"/>
      </patternFill>
    </fill>
    <fill>
      <patternFill patternType="solid">
        <fgColor rgb="FF10447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6">
    <xf numFmtId="0" fontId="0" fillId="0" borderId="0"/>
    <xf numFmtId="0" fontId="1" fillId="0" borderId="0" applyNumberFormat="0" applyFill="0" applyBorder="0" applyAlignment="0" applyProtection="0"/>
    <xf numFmtId="44" fontId="11" fillId="0" borderId="0" applyFont="0" applyFill="0" applyBorder="0" applyAlignment="0" applyProtection="0"/>
    <xf numFmtId="0" fontId="18" fillId="0" borderId="0"/>
    <xf numFmtId="0" fontId="27" fillId="0" borderId="0"/>
    <xf numFmtId="9" fontId="11" fillId="0" borderId="0" applyFont="0" applyFill="0" applyBorder="0" applyAlignment="0" applyProtection="0"/>
  </cellStyleXfs>
  <cellXfs count="123">
    <xf numFmtId="0" fontId="0" fillId="0" borderId="0" xfId="0"/>
    <xf numFmtId="0" fontId="2" fillId="3" borderId="1" xfId="0" applyFont="1" applyFill="1" applyBorder="1"/>
    <xf numFmtId="0" fontId="3" fillId="0" borderId="1" xfId="0" applyFont="1" applyBorder="1"/>
    <xf numFmtId="0" fontId="4" fillId="2" borderId="1" xfId="0" applyFont="1" applyFill="1" applyBorder="1"/>
    <xf numFmtId="0" fontId="5" fillId="0" borderId="1" xfId="1" applyFont="1" applyBorder="1" applyAlignment="1">
      <alignment vertical="center"/>
    </xf>
    <xf numFmtId="0" fontId="5" fillId="0" borderId="1" xfId="1" applyFont="1" applyBorder="1"/>
    <xf numFmtId="0" fontId="6" fillId="0" borderId="0" xfId="0" applyFont="1"/>
    <xf numFmtId="0" fontId="5" fillId="0" borderId="1" xfId="1" applyFont="1" applyFill="1" applyBorder="1"/>
    <xf numFmtId="0" fontId="2" fillId="3" borderId="1" xfId="0" applyFont="1" applyFill="1" applyBorder="1" applyAlignment="1">
      <alignment horizontal="center"/>
    </xf>
    <xf numFmtId="0" fontId="3" fillId="0" borderId="1" xfId="0" applyFont="1" applyBorder="1" applyAlignment="1">
      <alignment wrapText="1"/>
    </xf>
    <xf numFmtId="0" fontId="2" fillId="3" borderId="1" xfId="0" applyFont="1" applyFill="1" applyBorder="1" applyAlignment="1">
      <alignment horizontal="center" wrapText="1"/>
    </xf>
    <xf numFmtId="0" fontId="0" fillId="0" borderId="0" xfId="0" applyAlignment="1">
      <alignment wrapText="1"/>
    </xf>
    <xf numFmtId="0" fontId="3" fillId="4" borderId="1" xfId="0" applyFont="1" applyFill="1" applyBorder="1"/>
    <xf numFmtId="0" fontId="7" fillId="3" borderId="1" xfId="0" applyFont="1" applyFill="1" applyBorder="1"/>
    <xf numFmtId="0" fontId="5" fillId="0" borderId="0" xfId="1" applyFont="1" applyBorder="1"/>
    <xf numFmtId="0" fontId="0" fillId="0" borderId="0" xfId="0" applyAlignment="1">
      <alignment vertical="center"/>
    </xf>
    <xf numFmtId="0" fontId="8" fillId="0" borderId="1" xfId="1" applyFont="1" applyBorder="1"/>
    <xf numFmtId="0" fontId="9" fillId="0" borderId="1" xfId="0" applyFont="1" applyBorder="1"/>
    <xf numFmtId="0" fontId="8" fillId="0" borderId="2" xfId="1" applyFont="1" applyBorder="1"/>
    <xf numFmtId="0" fontId="2" fillId="3" borderId="1" xfId="0" applyFont="1" applyFill="1" applyBorder="1" applyAlignment="1">
      <alignment wrapText="1"/>
    </xf>
    <xf numFmtId="164" fontId="2" fillId="3" borderId="1" xfId="2" applyNumberFormat="1" applyFont="1" applyFill="1" applyBorder="1"/>
    <xf numFmtId="164" fontId="3" fillId="0" borderId="1" xfId="2" applyNumberFormat="1" applyFont="1" applyBorder="1"/>
    <xf numFmtId="164" fontId="0" fillId="0" borderId="0" xfId="2" applyNumberFormat="1" applyFont="1"/>
    <xf numFmtId="0" fontId="4" fillId="2" borderId="1" xfId="0" applyFont="1" applyFill="1" applyBorder="1" applyAlignment="1">
      <alignment wrapText="1"/>
    </xf>
    <xf numFmtId="0" fontId="12" fillId="0" borderId="0" xfId="0" applyFont="1" applyAlignment="1">
      <alignment horizontal="left" vertical="center" indent="15"/>
    </xf>
    <xf numFmtId="0" fontId="5" fillId="0" borderId="0" xfId="1" applyFont="1" applyFill="1"/>
    <xf numFmtId="0" fontId="3" fillId="0" borderId="1" xfId="0" applyFont="1" applyBorder="1" applyAlignment="1">
      <alignment horizontal="center"/>
    </xf>
    <xf numFmtId="0" fontId="0" fillId="0" borderId="0" xfId="0" applyAlignment="1">
      <alignment horizontal="left"/>
    </xf>
    <xf numFmtId="14" fontId="0" fillId="0" borderId="0" xfId="0" applyNumberFormat="1"/>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14" fontId="16" fillId="0" borderId="1" xfId="0" applyNumberFormat="1" applyFont="1" applyBorder="1" applyAlignment="1">
      <alignment horizontal="center" vertical="center" wrapText="1"/>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7" fillId="2" borderId="1" xfId="3" applyFont="1" applyFill="1" applyBorder="1" applyAlignment="1">
      <alignment horizontal="center" vertical="center"/>
    </xf>
    <xf numFmtId="0" fontId="19" fillId="3" borderId="1" xfId="0" applyFont="1" applyFill="1" applyBorder="1" applyAlignment="1">
      <alignment horizontal="left" wrapText="1"/>
    </xf>
    <xf numFmtId="0" fontId="19" fillId="3" borderId="1" xfId="0" applyFont="1" applyFill="1" applyBorder="1" applyAlignment="1">
      <alignment horizontal="center" vertical="center" wrapText="1"/>
    </xf>
    <xf numFmtId="14" fontId="19" fillId="3" borderId="1" xfId="0" applyNumberFormat="1" applyFont="1" applyFill="1" applyBorder="1" applyAlignment="1">
      <alignment horizont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vertical="center"/>
    </xf>
    <xf numFmtId="0" fontId="0" fillId="0" borderId="0" xfId="0" applyAlignment="1">
      <alignment horizontal="center"/>
    </xf>
    <xf numFmtId="0" fontId="3" fillId="0" borderId="0" xfId="0" applyFont="1"/>
    <xf numFmtId="0" fontId="3" fillId="0" borderId="3" xfId="0" applyFont="1" applyBorder="1"/>
    <xf numFmtId="0" fontId="3" fillId="0" borderId="1" xfId="0" applyFont="1" applyBorder="1" applyAlignment="1">
      <alignment horizontal="center" vertical="center" wrapText="1"/>
    </xf>
    <xf numFmtId="164" fontId="3" fillId="0" borderId="1" xfId="2" applyNumberFormat="1" applyFont="1" applyFill="1" applyBorder="1"/>
    <xf numFmtId="0" fontId="0" fillId="0" borderId="1" xfId="0" applyBorder="1" applyAlignment="1">
      <alignment wrapText="1"/>
    </xf>
    <xf numFmtId="0" fontId="4" fillId="0" borderId="1" xfId="0" applyFont="1" applyBorder="1"/>
    <xf numFmtId="164" fontId="3" fillId="0" borderId="4" xfId="2" applyNumberFormat="1" applyFont="1" applyFill="1" applyBorder="1"/>
    <xf numFmtId="0" fontId="3" fillId="0" borderId="4" xfId="0" applyFont="1" applyBorder="1"/>
    <xf numFmtId="14" fontId="3" fillId="0" borderId="1" xfId="0" applyNumberFormat="1" applyFont="1" applyBorder="1" applyAlignment="1">
      <alignment horizontal="center" vertical="center" wrapText="1"/>
    </xf>
    <xf numFmtId="0" fontId="14" fillId="0" borderId="1" xfId="0" applyFont="1" applyBorder="1" applyAlignment="1">
      <alignment wrapText="1"/>
    </xf>
    <xf numFmtId="0" fontId="3" fillId="4" borderId="1" xfId="0" applyFont="1" applyFill="1" applyBorder="1" applyAlignment="1">
      <alignment wrapText="1"/>
    </xf>
    <xf numFmtId="164" fontId="3" fillId="0" borderId="5" xfId="2" applyNumberFormat="1" applyFont="1" applyFill="1" applyBorder="1"/>
    <xf numFmtId="0" fontId="3" fillId="4" borderId="3" xfId="0" applyFont="1" applyFill="1" applyBorder="1"/>
    <xf numFmtId="14" fontId="3" fillId="4" borderId="1" xfId="0" applyNumberFormat="1" applyFont="1" applyFill="1" applyBorder="1" applyAlignment="1">
      <alignment horizontal="center" vertical="center" wrapText="1"/>
    </xf>
    <xf numFmtId="164" fontId="3" fillId="4" borderId="5" xfId="2" applyNumberFormat="1" applyFont="1" applyFill="1" applyBorder="1"/>
    <xf numFmtId="0" fontId="15" fillId="0" borderId="0" xfId="0" applyFont="1"/>
    <xf numFmtId="0" fontId="4" fillId="3" borderId="1" xfId="0" applyFont="1" applyFill="1" applyBorder="1" applyAlignment="1">
      <alignment horizontal="center" wrapText="1"/>
    </xf>
    <xf numFmtId="0" fontId="2" fillId="3" borderId="0" xfId="0" applyFont="1" applyFill="1" applyAlignment="1">
      <alignment horizontal="center" wrapText="1"/>
    </xf>
    <xf numFmtId="0" fontId="2" fillId="3" borderId="4" xfId="0" applyFont="1" applyFill="1" applyBorder="1" applyAlignment="1">
      <alignment horizontal="center" wrapText="1"/>
    </xf>
    <xf numFmtId="0" fontId="2" fillId="3" borderId="1" xfId="0" applyFont="1" applyFill="1" applyBorder="1" applyAlignment="1">
      <alignment horizontal="center" vertical="center"/>
    </xf>
    <xf numFmtId="0" fontId="20" fillId="0" borderId="0" xfId="0" applyFont="1" applyAlignment="1">
      <alignment horizontal="left" vertical="center" indent="5"/>
    </xf>
    <xf numFmtId="0" fontId="22" fillId="0" borderId="0" xfId="0" applyFont="1" applyAlignment="1">
      <alignment horizontal="left" vertical="center" indent="10"/>
    </xf>
    <xf numFmtId="0" fontId="0" fillId="3" borderId="0" xfId="0" applyFill="1" applyAlignment="1">
      <alignment wrapText="1"/>
    </xf>
    <xf numFmtId="0" fontId="3" fillId="2" borderId="1" xfId="0" applyFont="1" applyFill="1" applyBorder="1" applyAlignment="1">
      <alignment wrapText="1"/>
    </xf>
    <xf numFmtId="0" fontId="9" fillId="0" borderId="1" xfId="0" applyFont="1" applyBorder="1" applyAlignment="1">
      <alignment wrapText="1"/>
    </xf>
    <xf numFmtId="0" fontId="4" fillId="4" borderId="1" xfId="0" applyFont="1" applyFill="1" applyBorder="1" applyAlignment="1">
      <alignment wrapText="1"/>
    </xf>
    <xf numFmtId="0" fontId="9" fillId="4" borderId="1" xfId="0" applyFont="1" applyFill="1" applyBorder="1" applyAlignment="1">
      <alignment wrapText="1"/>
    </xf>
    <xf numFmtId="0" fontId="24" fillId="0" borderId="0" xfId="0" applyFont="1" applyAlignment="1">
      <alignment vertical="center" wrapText="1"/>
    </xf>
    <xf numFmtId="0" fontId="0" fillId="0" borderId="0" xfId="0" applyAlignment="1">
      <alignment vertical="center" wrapText="1"/>
    </xf>
    <xf numFmtId="0" fontId="23" fillId="0" borderId="0" xfId="0" applyFont="1" applyAlignment="1">
      <alignment vertical="center" wrapText="1"/>
    </xf>
    <xf numFmtId="0" fontId="3" fillId="5" borderId="1" xfId="0" applyFont="1" applyFill="1" applyBorder="1" applyAlignment="1">
      <alignment wrapText="1"/>
    </xf>
    <xf numFmtId="0" fontId="9" fillId="5" borderId="1" xfId="0" applyFont="1" applyFill="1" applyBorder="1" applyAlignment="1">
      <alignment wrapText="1"/>
    </xf>
    <xf numFmtId="0" fontId="1" fillId="0" borderId="1" xfId="1" applyBorder="1"/>
    <xf numFmtId="0" fontId="5" fillId="0" borderId="0" xfId="1" applyFont="1"/>
    <xf numFmtId="0" fontId="1" fillId="0" borderId="0" xfId="1" applyBorder="1"/>
    <xf numFmtId="0" fontId="9" fillId="0" borderId="1" xfId="0" applyFont="1" applyBorder="1" applyAlignment="1">
      <alignment horizontal="center" wrapText="1"/>
    </xf>
    <xf numFmtId="0" fontId="9" fillId="5" borderId="1" xfId="0" applyFont="1" applyFill="1" applyBorder="1" applyAlignment="1">
      <alignment horizontal="center" wrapText="1"/>
    </xf>
    <xf numFmtId="0" fontId="0" fillId="0" borderId="0" xfId="0" applyAlignment="1">
      <alignment horizontal="center" wrapText="1"/>
    </xf>
    <xf numFmtId="0" fontId="0" fillId="0" borderId="1" xfId="0" applyBorder="1"/>
    <xf numFmtId="0" fontId="26" fillId="0" borderId="0" xfId="0" applyFont="1"/>
    <xf numFmtId="0" fontId="28" fillId="0" borderId="0" xfId="0" applyFont="1" applyAlignment="1">
      <alignment horizontal="left" vertical="center" indent="1"/>
    </xf>
    <xf numFmtId="0" fontId="0" fillId="0" borderId="5" xfId="0" applyBorder="1" applyAlignment="1">
      <alignment wrapText="1"/>
    </xf>
    <xf numFmtId="9" fontId="0" fillId="0" borderId="1" xfId="0" applyNumberFormat="1" applyBorder="1" applyAlignment="1">
      <alignment wrapText="1"/>
    </xf>
    <xf numFmtId="0" fontId="29" fillId="6" borderId="5" xfId="0" applyFont="1" applyFill="1" applyBorder="1" applyAlignment="1">
      <alignment wrapText="1"/>
    </xf>
    <xf numFmtId="0" fontId="0" fillId="3" borderId="1" xfId="0" applyFill="1" applyBorder="1" applyAlignment="1">
      <alignment horizontal="center" wrapText="1"/>
    </xf>
    <xf numFmtId="0" fontId="0" fillId="0" borderId="2" xfId="0" applyBorder="1"/>
    <xf numFmtId="0" fontId="3"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1" fillId="0" borderId="1" xfId="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9" fontId="0" fillId="0" borderId="0" xfId="0" applyNumberFormat="1"/>
    <xf numFmtId="6" fontId="0" fillId="0" borderId="0" xfId="0" applyNumberFormat="1"/>
    <xf numFmtId="10" fontId="0" fillId="0" borderId="0" xfId="5" applyNumberFormat="1" applyFont="1"/>
    <xf numFmtId="0" fontId="28" fillId="0" borderId="0" xfId="0" applyFont="1" applyAlignment="1">
      <alignment wrapText="1"/>
    </xf>
    <xf numFmtId="0" fontId="28" fillId="0" borderId="1" xfId="0" applyFont="1" applyBorder="1" applyAlignment="1">
      <alignment wrapText="1"/>
    </xf>
    <xf numFmtId="0" fontId="30" fillId="0" borderId="1" xfId="0" applyFont="1" applyBorder="1" applyAlignment="1">
      <alignment wrapText="1"/>
    </xf>
    <xf numFmtId="0" fontId="1" fillId="0" borderId="1" xfId="1" applyBorder="1" applyAlignment="1">
      <alignment vertical="center" wrapText="1"/>
    </xf>
    <xf numFmtId="0" fontId="3" fillId="0" borderId="1" xfId="0" applyFont="1" applyBorder="1" applyAlignment="1">
      <alignment vertical="center"/>
    </xf>
    <xf numFmtId="0" fontId="0" fillId="0" borderId="0" xfId="0" applyAlignment="1">
      <alignment horizontal="left" wrapText="1"/>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1" fillId="0" borderId="4" xfId="1" applyBorder="1" applyAlignment="1">
      <alignment horizontal="center" vertical="center" wrapText="1"/>
    </xf>
    <xf numFmtId="0" fontId="1" fillId="0" borderId="2" xfId="1" applyBorder="1" applyAlignment="1">
      <alignment horizontal="center" vertical="center" wrapText="1"/>
    </xf>
    <xf numFmtId="0" fontId="1" fillId="0" borderId="5" xfId="1" applyBorder="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3" borderId="6" xfId="0" applyFont="1" applyFill="1" applyBorder="1" applyAlignment="1">
      <alignment horizontal="center"/>
    </xf>
    <xf numFmtId="0" fontId="4" fillId="2" borderId="6" xfId="0" applyFont="1" applyFill="1" applyBorder="1" applyAlignment="1">
      <alignment horizontal="center"/>
    </xf>
    <xf numFmtId="0" fontId="13" fillId="0" borderId="0" xfId="0" applyFont="1" applyAlignment="1">
      <alignment horizontal="left" wrapText="1"/>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1" xfId="0" applyFont="1" applyFill="1" applyBorder="1" applyAlignment="1">
      <alignment vertical="center" wrapText="1"/>
    </xf>
    <xf numFmtId="0" fontId="26" fillId="0" borderId="0" xfId="0" applyFont="1" applyAlignment="1">
      <alignment horizontal="center" vertical="center" wrapText="1"/>
    </xf>
    <xf numFmtId="0" fontId="31" fillId="0" borderId="0" xfId="0" applyFont="1" applyAlignment="1">
      <alignment vertical="center" wrapText="1"/>
    </xf>
    <xf numFmtId="0" fontId="0" fillId="0" borderId="1" xfId="0" applyFont="1" applyBorder="1" applyAlignment="1">
      <alignment wrapText="1"/>
    </xf>
    <xf numFmtId="0" fontId="32" fillId="0" borderId="0" xfId="0" applyFont="1" applyAlignment="1">
      <alignment wrapText="1"/>
    </xf>
  </cellXfs>
  <cellStyles count="6">
    <cellStyle name="Currency" xfId="2" builtinId="4"/>
    <cellStyle name="Hyperlink" xfId="1" builtinId="8"/>
    <cellStyle name="Normal" xfId="0" builtinId="0"/>
    <cellStyle name="Normal 2" xfId="4" xr:uid="{6729F12D-246A-45C8-8053-941D55F76CC4}"/>
    <cellStyle name="Normal 4" xfId="3" xr:uid="{B8FA3CC7-6402-4DA6-9437-6BD0C80A7E08}"/>
    <cellStyle name="Percent" xfId="5" builtinId="5"/>
  </cellStyles>
  <dxfs count="7">
    <dxf>
      <font>
        <color rgb="FF006100"/>
      </font>
      <fill>
        <patternFill>
          <bgColor rgb="FFC6EFCE"/>
        </patternFill>
      </fill>
    </dxf>
    <dxf>
      <font>
        <color rgb="FF006100"/>
      </font>
      <fill>
        <patternFill>
          <bgColor rgb="FFC6EFCE"/>
        </patternFill>
      </fill>
    </dxf>
    <dxf>
      <font>
        <color theme="0"/>
      </font>
      <fill>
        <patternFill>
          <bgColor rgb="FF10447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colors>
    <mruColors>
      <color rgb="FF104470"/>
      <color rgb="FFB0BC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Charts!$A$2</c:f>
              <c:strCache>
                <c:ptCount val="1"/>
                <c:pt idx="0">
                  <c:v>Think About How Healthy and Nutritious the Foods I Eat Are</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5-798F-E547-B74A-992FF1D713F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798F-E547-B74A-992FF1D713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Charts!$A$3:$A$5</c:f>
              <c:strCache>
                <c:ptCount val="3"/>
                <c:pt idx="0">
                  <c:v>Low Activity Level (&gt; 3 times/week)</c:v>
                </c:pt>
                <c:pt idx="1">
                  <c:v>Moderate Activity Level (3-5 times/week)</c:v>
                </c:pt>
                <c:pt idx="2">
                  <c:v>High Activity Level (6-7 times/week)</c:v>
                </c:pt>
              </c:strCache>
            </c:strRef>
          </c:cat>
          <c:val>
            <c:numRef>
              <c:f>Charts!$B$3:$B$5</c:f>
              <c:numCache>
                <c:formatCode>0%</c:formatCode>
                <c:ptCount val="3"/>
                <c:pt idx="0">
                  <c:v>0.21</c:v>
                </c:pt>
                <c:pt idx="1">
                  <c:v>0.33</c:v>
                </c:pt>
                <c:pt idx="2">
                  <c:v>0.48</c:v>
                </c:pt>
              </c:numCache>
            </c:numRef>
          </c:val>
          <c:extLst>
            <c:ext xmlns:c16="http://schemas.microsoft.com/office/drawing/2014/chart" uri="{C3380CC4-5D6E-409C-BE32-E72D297353CC}">
              <c16:uniqueId val="{00000000-798F-E547-B74A-992FF1D713FA}"/>
            </c:ext>
          </c:extLst>
        </c:ser>
        <c:dLbls>
          <c:dLblPos val="outEnd"/>
          <c:showLegendKey val="0"/>
          <c:showVal val="1"/>
          <c:showCatName val="0"/>
          <c:showSerName val="0"/>
          <c:showPercent val="0"/>
          <c:showBubbleSize val="0"/>
        </c:dLbls>
        <c:gapWidth val="182"/>
        <c:axId val="902508799"/>
        <c:axId val="904277375"/>
      </c:barChart>
      <c:catAx>
        <c:axId val="902508799"/>
        <c:scaling>
          <c:orientation val="minMax"/>
        </c:scaling>
        <c:delete val="1"/>
        <c:axPos val="l"/>
        <c:numFmt formatCode="General" sourceLinked="1"/>
        <c:majorTickMark val="none"/>
        <c:minorTickMark val="none"/>
        <c:tickLblPos val="nextTo"/>
        <c:crossAx val="904277375"/>
        <c:crosses val="autoZero"/>
        <c:auto val="1"/>
        <c:lblAlgn val="ctr"/>
        <c:lblOffset val="100"/>
        <c:noMultiLvlLbl val="0"/>
      </c:catAx>
      <c:valAx>
        <c:axId val="904277375"/>
        <c:scaling>
          <c:orientation val="minMax"/>
        </c:scaling>
        <c:delete val="1"/>
        <c:axPos val="b"/>
        <c:numFmt formatCode="0%" sourceLinked="1"/>
        <c:majorTickMark val="none"/>
        <c:minorTickMark val="none"/>
        <c:tickLblPos val="nextTo"/>
        <c:crossAx val="90250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Charts!$A$7</c:f>
              <c:strCache>
                <c:ptCount val="1"/>
                <c:pt idx="0">
                  <c:v>Eat a Healthy Meal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301C-7D4E-B8C3-8BA81B399D5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01C-7D4E-B8C3-8BA81B399D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Charts!$A$8:$A$10</c:f>
              <c:strCache>
                <c:ptCount val="3"/>
                <c:pt idx="0">
                  <c:v>Low Activity Level (&gt; 3 times/week)</c:v>
                </c:pt>
                <c:pt idx="1">
                  <c:v>Moderate Activity Level (3-5 times/week)</c:v>
                </c:pt>
                <c:pt idx="2">
                  <c:v>High Activity Level (6-7 times/week)</c:v>
                </c:pt>
              </c:strCache>
            </c:strRef>
          </c:cat>
          <c:val>
            <c:numRef>
              <c:f>Charts!$B$8:$B$10</c:f>
              <c:numCache>
                <c:formatCode>0%</c:formatCode>
                <c:ptCount val="3"/>
                <c:pt idx="0">
                  <c:v>0.46</c:v>
                </c:pt>
                <c:pt idx="1">
                  <c:v>0.63</c:v>
                </c:pt>
                <c:pt idx="2">
                  <c:v>0.77</c:v>
                </c:pt>
              </c:numCache>
            </c:numRef>
          </c:val>
          <c:extLst>
            <c:ext xmlns:c16="http://schemas.microsoft.com/office/drawing/2014/chart" uri="{C3380CC4-5D6E-409C-BE32-E72D297353CC}">
              <c16:uniqueId val="{00000004-301C-7D4E-B8C3-8BA81B399D5F}"/>
            </c:ext>
          </c:extLst>
        </c:ser>
        <c:dLbls>
          <c:dLblPos val="outEnd"/>
          <c:showLegendKey val="0"/>
          <c:showVal val="1"/>
          <c:showCatName val="0"/>
          <c:showSerName val="0"/>
          <c:showPercent val="0"/>
          <c:showBubbleSize val="0"/>
        </c:dLbls>
        <c:gapWidth val="182"/>
        <c:axId val="902508799"/>
        <c:axId val="904277375"/>
      </c:barChart>
      <c:catAx>
        <c:axId val="902508799"/>
        <c:scaling>
          <c:orientation val="minMax"/>
        </c:scaling>
        <c:delete val="1"/>
        <c:axPos val="l"/>
        <c:numFmt formatCode="General" sourceLinked="1"/>
        <c:majorTickMark val="none"/>
        <c:minorTickMark val="none"/>
        <c:tickLblPos val="nextTo"/>
        <c:crossAx val="904277375"/>
        <c:crosses val="autoZero"/>
        <c:auto val="1"/>
        <c:lblAlgn val="ctr"/>
        <c:lblOffset val="100"/>
        <c:noMultiLvlLbl val="0"/>
      </c:catAx>
      <c:valAx>
        <c:axId val="904277375"/>
        <c:scaling>
          <c:orientation val="minMax"/>
        </c:scaling>
        <c:delete val="1"/>
        <c:axPos val="b"/>
        <c:numFmt formatCode="0%" sourceLinked="1"/>
        <c:majorTickMark val="none"/>
        <c:minorTickMark val="none"/>
        <c:tickLblPos val="nextTo"/>
        <c:crossAx val="90250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Family Youth Sports Spnding - Income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Charts!$B$17:$B$19</c:f>
              <c:strCache>
                <c:ptCount val="3"/>
                <c:pt idx="0">
                  <c:v>Project Play (ROW 95)</c:v>
                </c:pt>
                <c:pt idx="1">
                  <c:v>Annual Family Youth Sports Spnding - Income</c:v>
                </c:pt>
                <c:pt idx="2">
                  <c:v>Average amount spent in past year for all of child's sports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Charts!$A$20:$A$22</c:f>
              <c:strCache>
                <c:ptCount val="3"/>
                <c:pt idx="0">
                  <c:v>$0-$49,999</c:v>
                </c:pt>
                <c:pt idx="1">
                  <c:v>$50,000-$99,999</c:v>
                </c:pt>
                <c:pt idx="2">
                  <c:v>$100,000 or more</c:v>
                </c:pt>
              </c:strCache>
            </c:strRef>
          </c:cat>
          <c:val>
            <c:numRef>
              <c:f>Charts!$B$20:$B$22</c:f>
              <c:numCache>
                <c:formatCode>"$"#,##0_);[Red]\("$"#,##0\)</c:formatCode>
                <c:ptCount val="3"/>
                <c:pt idx="0">
                  <c:v>890</c:v>
                </c:pt>
                <c:pt idx="1">
                  <c:v>1387</c:v>
                </c:pt>
                <c:pt idx="2">
                  <c:v>2361</c:v>
                </c:pt>
              </c:numCache>
            </c:numRef>
          </c:val>
          <c:extLst>
            <c:ext xmlns:c16="http://schemas.microsoft.com/office/drawing/2014/chart" uri="{C3380CC4-5D6E-409C-BE32-E72D297353CC}">
              <c16:uniqueId val="{00000000-FD4A-1D4A-99B2-2FA02CF41D86}"/>
            </c:ext>
          </c:extLst>
        </c:ser>
        <c:dLbls>
          <c:dLblPos val="outEnd"/>
          <c:showLegendKey val="0"/>
          <c:showVal val="1"/>
          <c:showCatName val="0"/>
          <c:showSerName val="0"/>
          <c:showPercent val="0"/>
          <c:showBubbleSize val="0"/>
        </c:dLbls>
        <c:gapWidth val="182"/>
        <c:axId val="1552472191"/>
        <c:axId val="1552472639"/>
      </c:barChart>
      <c:catAx>
        <c:axId val="1552472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Household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72639"/>
        <c:crosses val="autoZero"/>
        <c:auto val="1"/>
        <c:lblAlgn val="ctr"/>
        <c:lblOffset val="100"/>
        <c:noMultiLvlLbl val="0"/>
      </c:catAx>
      <c:valAx>
        <c:axId val="1552472639"/>
        <c:scaling>
          <c:orientation val="minMax"/>
        </c:scaling>
        <c:delete val="1"/>
        <c:axPos val="b"/>
        <c:numFmt formatCode="&quot;$&quot;#,##0_);[Red]\(&quot;$&quot;#,##0\)" sourceLinked="1"/>
        <c:majorTickMark val="none"/>
        <c:minorTickMark val="none"/>
        <c:tickLblPos val="nextTo"/>
        <c:crossAx val="155247219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Family Spending</a:t>
            </a:r>
            <a:r>
              <a:rPr lang="en-US" baseline="0"/>
              <a:t> by Sport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Charts!$B$33:$B$34</c:f>
              <c:strCache>
                <c:ptCount val="2"/>
                <c:pt idx="0">
                  <c:v>Average Annual Family Spending by Sport</c:v>
                </c:pt>
                <c:pt idx="1">
                  <c:v>2019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Charts!$A$35:$A$37</c:f>
              <c:strCache>
                <c:ptCount val="3"/>
                <c:pt idx="0">
                  <c:v>Baseball</c:v>
                </c:pt>
                <c:pt idx="1">
                  <c:v>Soccer</c:v>
                </c:pt>
                <c:pt idx="2">
                  <c:v>Basketball</c:v>
                </c:pt>
              </c:strCache>
            </c:strRef>
          </c:cat>
          <c:val>
            <c:numRef>
              <c:f>Charts!$B$35:$B$37</c:f>
              <c:numCache>
                <c:formatCode>"$"#,##0_);[Red]\("$"#,##0\)</c:formatCode>
                <c:ptCount val="3"/>
                <c:pt idx="0">
                  <c:v>660</c:v>
                </c:pt>
                <c:pt idx="1">
                  <c:v>537</c:v>
                </c:pt>
                <c:pt idx="2">
                  <c:v>427</c:v>
                </c:pt>
              </c:numCache>
            </c:numRef>
          </c:val>
          <c:extLst>
            <c:ext xmlns:c16="http://schemas.microsoft.com/office/drawing/2014/chart" uri="{C3380CC4-5D6E-409C-BE32-E72D297353CC}">
              <c16:uniqueId val="{00000000-A424-F440-97AA-4063231D7773}"/>
            </c:ext>
          </c:extLst>
        </c:ser>
        <c:ser>
          <c:idx val="1"/>
          <c:order val="1"/>
          <c:tx>
            <c:strRef>
              <c:f>Charts!$C$33:$C$34</c:f>
              <c:strCache>
                <c:ptCount val="2"/>
                <c:pt idx="0">
                  <c:v>Average Annual Family Spending by Sport</c:v>
                </c:pt>
                <c:pt idx="1">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Charts!$A$35:$A$37</c:f>
              <c:strCache>
                <c:ptCount val="3"/>
                <c:pt idx="0">
                  <c:v>Baseball</c:v>
                </c:pt>
                <c:pt idx="1">
                  <c:v>Soccer</c:v>
                </c:pt>
                <c:pt idx="2">
                  <c:v>Basketball</c:v>
                </c:pt>
              </c:strCache>
            </c:strRef>
          </c:cat>
          <c:val>
            <c:numRef>
              <c:f>Charts!$C$35:$C$37</c:f>
              <c:numCache>
                <c:formatCode>"$"#,##0_);[Red]\("$"#,##0\)</c:formatCode>
                <c:ptCount val="3"/>
                <c:pt idx="0">
                  <c:v>1113</c:v>
                </c:pt>
                <c:pt idx="1">
                  <c:v>910</c:v>
                </c:pt>
                <c:pt idx="2">
                  <c:v>876</c:v>
                </c:pt>
              </c:numCache>
            </c:numRef>
          </c:val>
          <c:extLst>
            <c:ext xmlns:c16="http://schemas.microsoft.com/office/drawing/2014/chart" uri="{C3380CC4-5D6E-409C-BE32-E72D297353CC}">
              <c16:uniqueId val="{00000001-A424-F440-97AA-4063231D7773}"/>
            </c:ext>
          </c:extLst>
        </c:ser>
        <c:dLbls>
          <c:dLblPos val="outEnd"/>
          <c:showLegendKey val="0"/>
          <c:showVal val="1"/>
          <c:showCatName val="0"/>
          <c:showSerName val="0"/>
          <c:showPercent val="0"/>
          <c:showBubbleSize val="0"/>
        </c:dLbls>
        <c:gapWidth val="219"/>
        <c:overlap val="-27"/>
        <c:axId val="1554532991"/>
        <c:axId val="1554535679"/>
      </c:barChart>
      <c:catAx>
        <c:axId val="15545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35679"/>
        <c:crosses val="autoZero"/>
        <c:auto val="1"/>
        <c:lblAlgn val="ctr"/>
        <c:lblOffset val="100"/>
        <c:noMultiLvlLbl val="0"/>
      </c:catAx>
      <c:valAx>
        <c:axId val="1554535679"/>
        <c:scaling>
          <c:orientation val="minMax"/>
        </c:scaling>
        <c:delete val="1"/>
        <c:axPos val="l"/>
        <c:numFmt formatCode="&quot;$&quot;#,##0_);[Red]\(&quot;$&quot;#,##0\)" sourceLinked="1"/>
        <c:majorTickMark val="none"/>
        <c:minorTickMark val="none"/>
        <c:tickLblPos val="nextTo"/>
        <c:crossAx val="155453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7</xdr:col>
      <xdr:colOff>444500</xdr:colOff>
      <xdr:row>14</xdr:row>
      <xdr:rowOff>76200</xdr:rowOff>
    </xdr:to>
    <xdr:graphicFrame macro="">
      <xdr:nvGraphicFramePr>
        <xdr:cNvPr id="3" name="Chart 2">
          <a:extLst>
            <a:ext uri="{FF2B5EF4-FFF2-40B4-BE49-F238E27FC236}">
              <a16:creationId xmlns:a16="http://schemas.microsoft.com/office/drawing/2014/main" id="{3C18AAFE-3A40-D2A3-21A6-522ABEB61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431800</xdr:colOff>
      <xdr:row>0</xdr:row>
      <xdr:rowOff>0</xdr:rowOff>
    </xdr:from>
    <xdr:to>
      <xdr:col>13</xdr:col>
      <xdr:colOff>50800</xdr:colOff>
      <xdr:row>14</xdr:row>
      <xdr:rowOff>76200</xdr:rowOff>
    </xdr:to>
    <xdr:graphicFrame macro="">
      <xdr:nvGraphicFramePr>
        <xdr:cNvPr id="4" name="Chart 3">
          <a:extLst>
            <a:ext uri="{FF2B5EF4-FFF2-40B4-BE49-F238E27FC236}">
              <a16:creationId xmlns:a16="http://schemas.microsoft.com/office/drawing/2014/main" id="{DAD0A653-C1E4-5445-9732-41478DF22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222250</xdr:colOff>
      <xdr:row>14</xdr:row>
      <xdr:rowOff>152400</xdr:rowOff>
    </xdr:from>
    <xdr:to>
      <xdr:col>9</xdr:col>
      <xdr:colOff>800100</xdr:colOff>
      <xdr:row>29</xdr:row>
      <xdr:rowOff>38100</xdr:rowOff>
    </xdr:to>
    <xdr:graphicFrame macro="">
      <xdr:nvGraphicFramePr>
        <xdr:cNvPr id="5" name="Chart 4">
          <a:extLst>
            <a:ext uri="{FF2B5EF4-FFF2-40B4-BE49-F238E27FC236}">
              <a16:creationId xmlns:a16="http://schemas.microsoft.com/office/drawing/2014/main" id="{DE1F6C20-92B8-06A0-4399-14DE47496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196850</xdr:colOff>
      <xdr:row>29</xdr:row>
      <xdr:rowOff>88900</xdr:rowOff>
    </xdr:from>
    <xdr:to>
      <xdr:col>9</xdr:col>
      <xdr:colOff>641350</xdr:colOff>
      <xdr:row>43</xdr:row>
      <xdr:rowOff>165100</xdr:rowOff>
    </xdr:to>
    <xdr:graphicFrame macro="">
      <xdr:nvGraphicFramePr>
        <xdr:cNvPr id="6" name="Chart 5">
          <a:extLst>
            <a:ext uri="{FF2B5EF4-FFF2-40B4-BE49-F238E27FC236}">
              <a16:creationId xmlns:a16="http://schemas.microsoft.com/office/drawing/2014/main" id="{62D496F4-7C06-263F-0367-D6C409ECB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ebecca Lynch" id="{2E95FA6B-D6A8-49DB-94E5-30806D23001A}" userId="rlynch@goodsports.org" providerId="PeoplePicker"/>
  <person displayName="Sean Ndebele" id="{AC4C9420-1DE2-49F1-A573-E2D771A7FE66}" userId="sndebele@goodsports.org" providerId="PeoplePicker"/>
  <person displayName="Rebecca Lynch" id="{DEFDDCFC-757D-4FB8-84BB-08BFAB18A09F}" userId="S::rlynch@goodsports.org::372b88ae-f335-4894-bebe-a5e79c12036f" providerId="AD"/>
  <person displayName="Sean Ndebele" id="{48E8E4DB-181C-4415-BCA8-9BDF18161B0E}" userId="S::sndebele@goodsports.org::71268c95-c17c-4aa2-9d2f-7654a9c97ecd" providerId="AD"/>
</personLis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5-10-24T11:37:20.89" personId="{DEFDDCFC-757D-4FB8-84BB-08BFAB18A09F}" id="{E5859CB2-F3AF-445C-BE81-BE34FE4BA04E}">
    <text>Write yes or no and add a brief reference to what the new stat is (ie SHAPE America, 2024). The new stats you add will be at the bottom of this list.</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0-06-25T14:08:43.65" personId="{DEFDDCFC-757D-4FB8-84BB-08BFAB18A09F}" id="{EEA9858F-5085-4C89-858D-255753F0A0FE}">
    <text>First RP proposal. Three phases were developed after.</text>
  </threadedComment>
  <threadedComment ref="A20" dT="2020-06-25T14:11:09.43" personId="{DEFDDCFC-757D-4FB8-84BB-08BFAB18A09F}" id="{CAE7093A-6AF3-4817-98CE-684CDBF7A942}">
    <text>This proposal communicates restricted and unrestricted split</text>
  </threadedComment>
</ThreadedComments>
</file>

<file path=xl/threadedComments/threadedComment3.xml><?xml version="1.0" encoding="utf-8"?>
<ThreadedComments xmlns="http://schemas.microsoft.com/office/spreadsheetml/2018/threadedcomments" xmlns:x="http://schemas.openxmlformats.org/spreadsheetml/2006/main">
  <threadedComment ref="J2" dT="2021-04-12T18:51:16.52" personId="{DEFDDCFC-757D-4FB8-84BB-08BFAB18A09F}" id="{6C7C2005-B9A3-4132-8169-D7350C55A708}">
    <text>Program Team Manager</text>
  </threadedComment>
  <threadedComment ref="G9" dT="2021-04-01T21:15:44.18" personId="{DEFDDCFC-757D-4FB8-84BB-08BFAB18A09F}" id="{52DB509D-48B6-4893-919F-46175EFF2C27}">
    <text>Karleen, do you remember the other sports? 2019 donation. IR doesn't say sports.</text>
  </threadedComment>
  <threadedComment ref="G9" dT="2021-07-28T19:48:18.77" personId="{DEFDDCFC-757D-4FB8-84BB-08BFAB18A09F}" id="{6FC57FE5-566A-4919-8C79-11F455FB9322}" parentId="{52DB509D-48B6-4893-919F-46175EFF2C27}">
    <text>Made possible by PRO coordinating multiple funders. Strong case study for massive impact made possible through this model.</text>
  </threadedComment>
  <threadedComment ref="G12" dT="2021-07-28T19:48:39.51" personId="{DEFDDCFC-757D-4FB8-84BB-08BFAB18A09F}" id="{CC4CD07E-8AC3-4B25-8620-A6C0E1F0F475}">
    <text>Paid partly by team sponsor (Nike)</text>
  </threadedComment>
  <threadedComment ref="L17" dT="2022-04-26T14:47:31.87" personId="{DEFDDCFC-757D-4FB8-84BB-08BFAB18A09F}" id="{375D9AF4-0D4B-4AF1-9185-294698BA1F1A}">
    <text>More details early May</text>
  </threadedComment>
  <threadedComment ref="G28" dT="2021-07-28T19:48:02.94" personId="{DEFDDCFC-757D-4FB8-84BB-08BFAB18A09F}" id="{2B2A5B98-83AD-474F-B5B3-B3B1605DA7EC}">
    <text>Paid for by team sponsor, Ultimate Software</text>
  </threadedComment>
  <threadedComment ref="G29" dT="2021-07-28T19:47:54.75" personId="{DEFDDCFC-757D-4FB8-84BB-08BFAB18A09F}" id="{444CD5BB-80C6-4D0A-869F-7A391D2F576C}">
    <text>Didn't have budget in 2019 but hopeful to resume in 2021 or future.</text>
  </threadedComment>
  <threadedComment ref="B51" dT="2020-11-17T20:43:39.46" personId="{DEFDDCFC-757D-4FB8-84BB-08BFAB18A09F}" id="{D8FD8A69-BC6B-4724-A82B-4CB4DC6D905C}">
    <text>SE Michigan, Western NY</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1-04-12T18:51:16.52" personId="{DEFDDCFC-757D-4FB8-84BB-08BFAB18A09F}" id="{6936FECF-D4A5-4DB9-836D-7353B4D02026}">
    <text>Program Team Manager</text>
  </threadedComment>
  <threadedComment ref="D8" dT="2021-04-12T18:48:17.44" personId="{DEFDDCFC-757D-4FB8-84BB-08BFAB18A09F}" id="{6F576ADD-96FB-4C2C-92DF-6D2514CC17BE}">
    <text>Karleen leads communication with Foundation</text>
  </threadedComment>
  <threadedComment ref="D15" dT="2021-04-16T12:36:23.30" personId="{DEFDDCFC-757D-4FB8-84BB-08BFAB18A09F}" id="{C1825783-81E6-4F1F-834E-52B8543A60A6}">
    <text>Christy is POC</text>
  </threadedComment>
  <threadedComment ref="D34" dT="2021-04-16T12:32:22.92" personId="{DEFDDCFC-757D-4FB8-84BB-08BFAB18A09F}" id="{276CF59D-8BC5-4DDB-96FB-A44FC5AFA1F5}">
    <text>Mel is POC</text>
  </threadedComment>
  <threadedComment ref="I37" dT="2021-07-08T14:25:40.43" personId="{DEFDDCFC-757D-4FB8-84BB-08BFAB18A09F}" id="{2C8647C0-8F40-47E3-96AF-48AD1F0C1E46}">
    <text>@Sean Ndebele can we change status to lapsed instead for this? Or is the door shut on the Knicks and Sneakers?</text>
    <mentions>
      <mention mentionpersonId="{AC4C9420-1DE2-49F1-A573-E2D771A7FE66}" mentionId="{EA1537B0-4097-489F-8862-EB360558BEC5}" startIndex="0" length="13"/>
    </mentions>
  </threadedComment>
  <threadedComment ref="I37" dT="2021-07-08T15:23:31.61" personId="{48E8E4DB-181C-4415-BCA8-9BDF18161B0E}" id="{6676FF3A-2F18-4F9E-B192-E0C1A7B0C1F4}" parentId="{2C8647C0-8F40-47E3-96AF-48AD1F0C1E46}">
    <text>@Rebecca let me check with David on both.</text>
    <mentions>
      <mention mentionpersonId="{2E95FA6B-D6A8-49DB-94E5-30806D23001A}" mentionId="{445D98E5-C832-43C8-91E1-132E450FC227}" startIndex="0" length="8"/>
    </mentions>
  </threadedComment>
  <threadedComment ref="D39" dT="2021-04-12T18:48:35.08" personId="{DEFDDCFC-757D-4FB8-84BB-08BFAB18A09F}" id="{809658B9-90D9-477F-B16A-2D187651297F}">
    <text>Rebecca leads communication with Foundation</text>
  </threadedComment>
  <threadedComment ref="D40" dT="2021-04-12T18:47:08.36" personId="{DEFDDCFC-757D-4FB8-84BB-08BFAB18A09F}" id="{46BCD6DB-939A-4070-9BA4-2D45CA0C88EE}">
    <text>Christy leads communication with Foundation and will steward relationship</text>
  </threadedComment>
  <threadedComment ref="D45" dT="2021-04-12T19:00:43.55" personId="{DEFDDCFC-757D-4FB8-84BB-08BFAB18A09F}" id="{90606250-7532-4BB8-B5B4-F6D49320B597}">
    <text>Mel communication?</text>
  </threadedComment>
  <threadedComment ref="D46" dT="2021-04-16T12:35:07.90" personId="{DEFDDCFC-757D-4FB8-84BB-08BFAB18A09F}" id="{198EE9D4-6D91-4C39-B687-50EB30046326}">
    <text>Christy POC?</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genyouthnow.org/wp-content/uploads/2024/10/GENYOUth-Insights-Fall-2024-Physical-Education-101424.pdf" TargetMode="External"/><Relationship Id="rId13" Type="http://schemas.openxmlformats.org/officeDocument/2006/relationships/hyperlink" Target="https://projectplay.org/news/2025/2/24/project-play-survey-family-spending-on-youth-sports-rises-46-over-five-years" TargetMode="External"/><Relationship Id="rId18" Type="http://schemas.openxmlformats.org/officeDocument/2006/relationships/hyperlink" Target="https://www.womenssportsfoundation.org/press_release/amid-the-nations-ongoing-youth-mental-health-crisis-new-research-shows-the-critical-role-sports-can-play-in-promoting-girls-mental-health/?utm_source=chatgpt.com" TargetMode="External"/><Relationship Id="rId26" Type="http://schemas.microsoft.com/office/2017/10/relationships/threadedComment" Target="../threadedComments/threadedComment1.xml"/><Relationship Id="rId3" Type="http://schemas.openxmlformats.org/officeDocument/2006/relationships/hyperlink" Target="https://genyouthnow.org/wp-content/uploads/2024/10/GENYOUth-Insights-Fall-2024-Physical-Education-101424.pdf" TargetMode="External"/><Relationship Id="rId21" Type="http://schemas.openxmlformats.org/officeDocument/2006/relationships/hyperlink" Target="https://www.edweek.org/leadership/kids-are-getting-priced-out-of-youth-sports-how-schools-can-help/2023/11" TargetMode="External"/><Relationship Id="rId7" Type="http://schemas.openxmlformats.org/officeDocument/2006/relationships/hyperlink" Target="https://genyouthnow.org/wp-content/uploads/2024/10/GENYOUth-Insights-Fall-2024-Physical-Education-101424.pdf" TargetMode="External"/><Relationship Id="rId12" Type="http://schemas.openxmlformats.org/officeDocument/2006/relationships/hyperlink" Target="https://projectplay.org/news/2025/2/24/project-play-survey-family-spending-on-youth-sports-rises-46-over-five-years" TargetMode="External"/><Relationship Id="rId17" Type="http://schemas.openxmlformats.org/officeDocument/2006/relationships/hyperlink" Target="https://link.springer.com/article/10.1007/s10826-024-02830-1" TargetMode="External"/><Relationship Id="rId25" Type="http://schemas.openxmlformats.org/officeDocument/2006/relationships/comments" Target="../comments1.xml"/><Relationship Id="rId2" Type="http://schemas.openxmlformats.org/officeDocument/2006/relationships/hyperlink" Target="https://genyouthnow.org/wp-content/uploads/2024/10/GENYOUth-Insights-Fall-2024-Physical-Education-101424.pdf" TargetMode="External"/><Relationship Id="rId16" Type="http://schemas.openxmlformats.org/officeDocument/2006/relationships/hyperlink" Target="https://beyondsport.org/2024/11/01/aspen-institute-releases-state-of-play-2024/" TargetMode="External"/><Relationship Id="rId20" Type="http://schemas.openxmlformats.org/officeDocument/2006/relationships/hyperlink" Target="https://www.womenssportsfoundation.org/wp-content/uploads/2024/04/WSF-Thriving-Through-Sport-Report-Data-Highlights.pdf" TargetMode="External"/><Relationship Id="rId1" Type="http://schemas.openxmlformats.org/officeDocument/2006/relationships/hyperlink" Target="https://genyouthnow.org/wp-content/uploads/2024/10/GENYOUth-Insights-Fall-2024-Physical-Education-101424.pdf" TargetMode="External"/><Relationship Id="rId6" Type="http://schemas.openxmlformats.org/officeDocument/2006/relationships/hyperlink" Target="https://genyouthnow.org/wp-content/uploads/2024/10/GENYOUth-Insights-Fall-2024-Physical-Education-101424.pdf" TargetMode="External"/><Relationship Id="rId11" Type="http://schemas.openxmlformats.org/officeDocument/2006/relationships/hyperlink" Target="https://projectplay.org/news/2025/2/24/project-play-survey-family-spending-on-youth-sports-rises-46-over-five-years" TargetMode="External"/><Relationship Id="rId24" Type="http://schemas.openxmlformats.org/officeDocument/2006/relationships/vmlDrawing" Target="../drawings/vmlDrawing1.vml"/><Relationship Id="rId5" Type="http://schemas.openxmlformats.org/officeDocument/2006/relationships/hyperlink" Target="https://genyouthnow.org/wp-content/uploads/2024/10/GENYOUth-Insights-Fall-2024-Physical-Education-101424.pdf" TargetMode="External"/><Relationship Id="rId15" Type="http://schemas.openxmlformats.org/officeDocument/2006/relationships/hyperlink" Target="https://www.ncaa.org/news/2024/11/20/media-center-di-graduation-rates-remain-at-highest-level.aspx" TargetMode="External"/><Relationship Id="rId23" Type="http://schemas.openxmlformats.org/officeDocument/2006/relationships/printerSettings" Target="../printerSettings/printerSettings1.bin"/><Relationship Id="rId10" Type="http://schemas.openxmlformats.org/officeDocument/2006/relationships/hyperlink" Target="https://genyouthnow.org/wp-content/uploads/2024/10/GENYOUth-Insights-Fall-2024-Physical-Education-101424.pdf" TargetMode="External"/><Relationship Id="rId19" Type="http://schemas.openxmlformats.org/officeDocument/2006/relationships/hyperlink" Target="https://www.womenssportsfoundation.org/press_release/amid-the-nations-ongoing-youth-mental-health-crisis-new-research-shows-the-critical-role-sports-can-play-in-promoting-girls-mental-health/?utm_source=chatgpt.com" TargetMode="External"/><Relationship Id="rId4" Type="http://schemas.openxmlformats.org/officeDocument/2006/relationships/hyperlink" Target="https://genyouthnow.org/wp-content/uploads/2024/10/GENYOUth-Insights-Fall-2024-Physical-Education-101424.pdf" TargetMode="External"/><Relationship Id="rId9" Type="http://schemas.openxmlformats.org/officeDocument/2006/relationships/hyperlink" Target="https://genyouthnow.org/wp-content/uploads/2024/10/GENYOUth-Insights-Fall-2024-Physical-Education-101424.pdf" TargetMode="External"/><Relationship Id="rId14" Type="http://schemas.openxmlformats.org/officeDocument/2006/relationships/hyperlink" Target="https://projectplay.org/news/2025/2/24/project-play-survey-family-spending-on-youth-sports-rises-46-over-five-years" TargetMode="External"/><Relationship Id="rId22" Type="http://schemas.openxmlformats.org/officeDocument/2006/relationships/hyperlink" Target="https://www.petalumanews.com/2023/05/02/funding-school-sports-can-be-a-hurdl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w:/g/EXz_N2SyKM9DsxPCxK9ZvXMBoVnELXGPN3bANnWIgsJnFQ?e=dhxFOw" TargetMode="External"/><Relationship Id="rId13" Type="http://schemas.openxmlformats.org/officeDocument/2006/relationships/hyperlink" Target="../../../../:w:/g/EVLK-FzT5b5DquSF2TEK7DUBx-uY0Dn_3V8G0g_YtLSRcw?e=lzBgbp" TargetMode="External"/><Relationship Id="rId18" Type="http://schemas.openxmlformats.org/officeDocument/2006/relationships/hyperlink" Target="../../../../:w:/g/EU3xRevfxLZNuNOA2wrDvjgB9gqAM8xKUQS3A2HofFI3eA?e=n2CLYd" TargetMode="External"/><Relationship Id="rId26" Type="http://schemas.openxmlformats.org/officeDocument/2006/relationships/printerSettings" Target="../printerSettings/printerSettings3.bin"/><Relationship Id="rId3" Type="http://schemas.openxmlformats.org/officeDocument/2006/relationships/hyperlink" Target="../../../../:w:/g/EfsI9gHipvVQRA9V5G-UiY8B9Ds7iQHQzaH754ULuxZkvA?e=FOZgc7" TargetMode="External"/><Relationship Id="rId21" Type="http://schemas.openxmlformats.org/officeDocument/2006/relationships/hyperlink" Target="../../../../:w:/g/EcUC8kiu7nFIuUKSRF3k_v0BNXzQpojovs_ewe53fnc3EQ?e=f80r7D" TargetMode="External"/><Relationship Id="rId7" Type="http://schemas.openxmlformats.org/officeDocument/2006/relationships/hyperlink" Target="../../../../:w:/g/Ead8qXXvdg9JjrU_3Qfb3P8B9m3Iqwzp5KTwHstXR9Zkfw?e=7iWsMk" TargetMode="External"/><Relationship Id="rId12" Type="http://schemas.openxmlformats.org/officeDocument/2006/relationships/hyperlink" Target="../../../../:w:/g/EfMEgaQKqdlAstOg_GQnDBEBe0ISWllvPW9iG2PyKLQJzg?e=UXWsox" TargetMode="External"/><Relationship Id="rId17" Type="http://schemas.openxmlformats.org/officeDocument/2006/relationships/hyperlink" Target="../../../../:w:/g/EVLK-FzT5b5DquSF2TEK7DUBx-uY0Dn_3V8G0g_YtLSRcw?e=lzBgbp" TargetMode="External"/><Relationship Id="rId25" Type="http://schemas.openxmlformats.org/officeDocument/2006/relationships/hyperlink" Target="../../../../:w:/g/EeEYT5nEQqJHj7zEm6_AkGEB-XDAVdZ6tjoVbl_O4BF52Q?e=HcIFKo" TargetMode="External"/><Relationship Id="rId2" Type="http://schemas.openxmlformats.org/officeDocument/2006/relationships/hyperlink" Target="../../../../:w:/g/EfsI9gHipvVQRA9V5G-UiY8B9Ds7iQHQzaH754ULuxZkvA?e=FOZgc7" TargetMode="External"/><Relationship Id="rId16" Type="http://schemas.openxmlformats.org/officeDocument/2006/relationships/hyperlink" Target="../../../../:w:/g/ETcDKnHhszdEs3pTVgpHUScB5iHWtm1YcfWtbT8OBCUplg?e=LwRfVw" TargetMode="External"/><Relationship Id="rId20" Type="http://schemas.openxmlformats.org/officeDocument/2006/relationships/hyperlink" Target="../../../../:w:/g/EcnCDpdY91BImBNh9HvG86wBFHfBDax0spnmQS9kgPjO7A?e=Ja4bQl" TargetMode="External"/><Relationship Id="rId29" Type="http://schemas.microsoft.com/office/2017/10/relationships/threadedComment" Target="../threadedComments/threadedComment2.xml"/><Relationship Id="rId1" Type="http://schemas.openxmlformats.org/officeDocument/2006/relationships/hyperlink" Target="../../../../:w:/g/Eb_d-saaoFBe9cshWBQ_JlwBBITCeXh4PWv_vDF4m2u7Dg?e=BT8XVV" TargetMode="External"/><Relationship Id="rId6" Type="http://schemas.openxmlformats.org/officeDocument/2006/relationships/hyperlink" Target="../../../../:w:/g/ESmxvpd72vNLs4A0YlgUG3sBWlXEIIDnRfWUuWwIqUqVNA?e=Dy9ojZ" TargetMode="External"/><Relationship Id="rId11" Type="http://schemas.openxmlformats.org/officeDocument/2006/relationships/hyperlink" Target="../../../../:w:/g/Eeu0pYDJCURMuLm-qoqBrWwBztz3GbZm7UTuXrbb4Pg38A?e=390Ror" TargetMode="External"/><Relationship Id="rId24" Type="http://schemas.openxmlformats.org/officeDocument/2006/relationships/hyperlink" Target="../../../../:w:/g/EUxyhv1LAoBGr0DA7N7hwzkB9JHjfxYHQa85sTtK0o07WQ?e=QlULw4" TargetMode="External"/><Relationship Id="rId5" Type="http://schemas.openxmlformats.org/officeDocument/2006/relationships/hyperlink" Target="../../../../:w:/g/EYASm8SC6ehZ_MVz5bendb4BeAhK5FLmtZjIVqlxqorEDg?e=9P3URk" TargetMode="External"/><Relationship Id="rId15" Type="http://schemas.openxmlformats.org/officeDocument/2006/relationships/hyperlink" Target="../../../../:w:/g/EWYdncOuhRtFqLiXyF4GZWsBq0jogQoygsD7j3IpcG_WIQ?e=Fk56pq" TargetMode="External"/><Relationship Id="rId23" Type="http://schemas.openxmlformats.org/officeDocument/2006/relationships/hyperlink" Target="../../../../:w:/g/EVTsQFwj2uVMtqxB9sqVkEoB84Xf9ggdIfZsvaxU8zVXvQ?e=C3S0YP" TargetMode="External"/><Relationship Id="rId28" Type="http://schemas.openxmlformats.org/officeDocument/2006/relationships/comments" Target="../comments2.xml"/><Relationship Id="rId10" Type="http://schemas.openxmlformats.org/officeDocument/2006/relationships/hyperlink" Target="../../../../:w:/g/EceJgYbbckBFt0ytAGOtxcMBapo79YIMrnKP6Wl_3yZOHw?e=zDCf0a" TargetMode="External"/><Relationship Id="rId19" Type="http://schemas.openxmlformats.org/officeDocument/2006/relationships/hyperlink" Target="../../../../:w:/g/Efkz6ezE4HZBtHzfHqu2668BVNxmJX-YkxAWlf4Yh7619g?e=oU4lna" TargetMode="External"/><Relationship Id="rId4" Type="http://schemas.openxmlformats.org/officeDocument/2006/relationships/hyperlink" Target="../../../../:w:/g/EfLJgraMjO5Xd6Xj9g-zWj0B7cEl6lzGBMuOxky1qiD0qg?e=5Svjo8" TargetMode="External"/><Relationship Id="rId9" Type="http://schemas.openxmlformats.org/officeDocument/2006/relationships/hyperlink" Target="../../../../:w:/g/EWWSj2VeTlJKnrYvJx9Moa8BQvsZtCZBO0K6zUZvNl9K6w?e=umQleO" TargetMode="External"/><Relationship Id="rId14" Type="http://schemas.openxmlformats.org/officeDocument/2006/relationships/hyperlink" Target="../../../../:w:/g/ESHVwnrBtwRcDk_0A3xCgrcBGabdo8S10MC0uM1yMThjbg?e=Ew8QCA" TargetMode="External"/><Relationship Id="rId22" Type="http://schemas.openxmlformats.org/officeDocument/2006/relationships/hyperlink" Target="../../../../:w:/g/Ef0SMYBuEdVHrdbGIhpfXeAB5pwQlRMw3Ya4dRUVIMtFRg?e=wPkpvT" TargetMode="External"/><Relationship Id="rId27"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8" Type="http://schemas.openxmlformats.org/officeDocument/2006/relationships/hyperlink" Target="file:///C:\Users\rlynch\Good%20Sports\Good%20Sports%20Team%20Site%20-%20Corp\PR%20And%20Marketing\Best%20Practices\Team%20Cheat%20Sheets\Biz%20Dev.docx" TargetMode="External"/><Relationship Id="rId13" Type="http://schemas.openxmlformats.org/officeDocument/2006/relationships/hyperlink" Target="../../../../:x:/g/ES5RHd2DzYVLifcipSGAVOYB-0o40gGPFFVn9kQylIiWhg?e=7Kge6n" TargetMode="External"/><Relationship Id="rId18" Type="http://schemas.openxmlformats.org/officeDocument/2006/relationships/hyperlink" Target="../../../../:x:/g/EaldBo7lKu5BgP8yBerW1gEBLwTTz6qb5JXwzcSnff7OUg?e=Fc2Rpx" TargetMode="External"/><Relationship Id="rId3" Type="http://schemas.openxmlformats.org/officeDocument/2006/relationships/hyperlink" Target="../../../PR%20and%20Marketing/Assets/0%20-%20Archive/Marketing%20Assets%20Library.xlsx" TargetMode="External"/><Relationship Id="rId21" Type="http://schemas.openxmlformats.org/officeDocument/2006/relationships/printerSettings" Target="../printerSettings/printerSettings4.bin"/><Relationship Id="rId7" Type="http://schemas.openxmlformats.org/officeDocument/2006/relationships/hyperlink" Target="../../Corporate%20and%20Foundation_Institutional%20Fundraising/Proposal%20Support/Good%20Sports%20Application.pdf" TargetMode="External"/><Relationship Id="rId12" Type="http://schemas.openxmlformats.org/officeDocument/2006/relationships/hyperlink" Target="http://diversitydatakids.org/research-library/data-visualization/snapshot-child-opportunity-across-us" TargetMode="External"/><Relationship Id="rId17" Type="http://schemas.openxmlformats.org/officeDocument/2006/relationships/hyperlink" Target="../../../../:f:/g/EhDPKsmO051KiRU1B4lcfQQBWbVvwm-Z9PbQKk75KM3qPQ?e=SWr1ew" TargetMode="External"/><Relationship Id="rId2" Type="http://schemas.openxmlformats.org/officeDocument/2006/relationships/hyperlink" Target="../../Attachments" TargetMode="External"/><Relationship Id="rId16" Type="http://schemas.openxmlformats.org/officeDocument/2006/relationships/hyperlink" Target="https://create.piktochart.com/output/31389696-territory-map-2020" TargetMode="External"/><Relationship Id="rId20" Type="http://schemas.openxmlformats.org/officeDocument/2006/relationships/hyperlink" Target="https://www.dropbox.com/scl/fo/bhmr1rs5sgkg4ymxx22b1/h?dl=0&amp;rlkey=uqlfm9sbyqllaxb2urqvemr48" TargetMode="External"/><Relationship Id="rId1" Type="http://schemas.openxmlformats.org/officeDocument/2006/relationships/hyperlink" Target="../../Corporate%20and%20Foundation_Institutional%20Fundraising/Supporter%20Benefit%20Levels/Supporter%20Benefit%20Levels.docx" TargetMode="External"/><Relationship Id="rId6" Type="http://schemas.openxmlformats.org/officeDocument/2006/relationships/hyperlink" Target="../../SOPs/Processes%20%26%20Procedures/New%20Funding%20Handoff%20Process.docx" TargetMode="External"/><Relationship Id="rId11" Type="http://schemas.openxmlformats.org/officeDocument/2006/relationships/hyperlink" Target="../../Field%20House%20Volunteer%20Program/Corporate%20Events/Event%20Execution/3.%20Impact%20Reporting/Archived/FH%20Volunteer%20Event%20Impact%20Report%20Template.pptx" TargetMode="External"/><Relationship Id="rId5" Type="http://schemas.openxmlformats.org/officeDocument/2006/relationships/hyperlink" Target="https://www.goodsports.org/wp-login.php?redirect_to=http%3A%2F%2Fgoodsports.org%2Fwp-admin%2F&amp;reauth=1" TargetMode="External"/><Relationship Id="rId15" Type="http://schemas.openxmlformats.org/officeDocument/2006/relationships/hyperlink" Target="../../../../:x:/g/EQK6Z5j6FppDrQJxw4ev1CUBMFvGws5pV9L3xh-MXcaoZg?e=e1JAa0" TargetMode="External"/><Relationship Id="rId10" Type="http://schemas.openxmlformats.org/officeDocument/2006/relationships/hyperlink" Target="../../Field%20House%20Volunteer%20Program/Field%20House%20Volunteer%20Event%20MASTER.xlsx" TargetMode="External"/><Relationship Id="rId19" Type="http://schemas.openxmlformats.org/officeDocument/2006/relationships/hyperlink" Target="../../../../:x:/g/EWvMnR4PPqdKuHlZsPlD9oMBepQ3XWF-B26N48qW0VXdVg?e=Orssnt" TargetMode="External"/><Relationship Id="rId4" Type="http://schemas.openxmlformats.org/officeDocument/2006/relationships/hyperlink" Target="../../../PR%20And%20Marketing/Returned%20Community%20Evals/2018-2020/RCE%20Database.xlsx" TargetMode="External"/><Relationship Id="rId9" Type="http://schemas.openxmlformats.org/officeDocument/2006/relationships/hyperlink" Target="../../../PR%20and%20Marketing/Best%20Practices/0_Archive/Team%20Cheat%20Sheets/Biz%20Dev.docx" TargetMode="External"/><Relationship Id="rId14" Type="http://schemas.openxmlformats.org/officeDocument/2006/relationships/hyperlink" Target="../../../../:x:/g/EVbkr_z8UENJgR_MYs07xEwBkDm6SkaAy4Xi9jPcOyE0wA"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013A-2E9A-4905-BDF1-C326AE7489C5}">
  <dimension ref="A1:P28"/>
  <sheetViews>
    <sheetView workbookViewId="0">
      <selection activeCell="B30" sqref="B30"/>
    </sheetView>
  </sheetViews>
  <sheetFormatPr defaultColWidth="8.85546875" defaultRowHeight="15"/>
  <sheetData>
    <row r="1" spans="1:16">
      <c r="A1" t="s">
        <v>719</v>
      </c>
    </row>
    <row r="2" spans="1:16" ht="45.6" customHeight="1">
      <c r="A2" s="101" t="s">
        <v>722</v>
      </c>
      <c r="B2" s="101"/>
      <c r="C2" s="101"/>
      <c r="D2" s="101"/>
      <c r="E2" s="101"/>
      <c r="F2" s="101"/>
      <c r="G2" s="101"/>
      <c r="H2" s="101"/>
      <c r="I2" s="101"/>
      <c r="J2" s="101"/>
      <c r="K2" s="101"/>
      <c r="L2" s="101"/>
      <c r="M2" s="101"/>
      <c r="N2" s="101"/>
      <c r="O2" s="101"/>
      <c r="P2" s="101"/>
    </row>
    <row r="3" spans="1:16">
      <c r="A3" t="s">
        <v>721</v>
      </c>
    </row>
    <row r="4" spans="1:16">
      <c r="A4" t="s">
        <v>720</v>
      </c>
    </row>
    <row r="5" spans="1:16">
      <c r="A5" t="s">
        <v>737</v>
      </c>
    </row>
    <row r="7" spans="1:16" ht="44.1" customHeight="1">
      <c r="A7" s="101" t="s">
        <v>732</v>
      </c>
      <c r="B7" s="101"/>
      <c r="C7" s="101"/>
      <c r="D7" s="101"/>
      <c r="E7" s="101"/>
      <c r="F7" s="101"/>
      <c r="G7" s="101"/>
      <c r="H7" s="101"/>
      <c r="I7" s="101"/>
      <c r="J7" s="101"/>
      <c r="K7" s="101"/>
    </row>
    <row r="8" spans="1:16" ht="14.45" customHeight="1">
      <c r="A8" s="101"/>
      <c r="B8" s="101"/>
      <c r="C8" s="101"/>
      <c r="D8" s="101"/>
      <c r="E8" s="101"/>
      <c r="F8" s="101"/>
      <c r="G8" s="101"/>
      <c r="H8" s="101"/>
      <c r="I8" s="101"/>
      <c r="J8" s="101"/>
      <c r="K8" s="101"/>
    </row>
    <row r="10" spans="1:16">
      <c r="A10" t="s">
        <v>715</v>
      </c>
    </row>
    <row r="11" spans="1:16">
      <c r="A11" t="s">
        <v>738</v>
      </c>
    </row>
    <row r="12" spans="1:16">
      <c r="A12" t="s">
        <v>736</v>
      </c>
    </row>
    <row r="13" spans="1:16">
      <c r="A13" t="s">
        <v>735</v>
      </c>
    </row>
    <row r="14" spans="1:16">
      <c r="A14" t="s">
        <v>733</v>
      </c>
    </row>
    <row r="15" spans="1:16">
      <c r="A15" t="s">
        <v>734</v>
      </c>
    </row>
    <row r="16" spans="1:16">
      <c r="A16" t="s">
        <v>726</v>
      </c>
    </row>
    <row r="19" spans="1:1">
      <c r="A19" t="s">
        <v>730</v>
      </c>
    </row>
    <row r="20" spans="1:1">
      <c r="A20" t="s">
        <v>739</v>
      </c>
    </row>
    <row r="21" spans="1:1">
      <c r="A21" s="81" t="s">
        <v>718</v>
      </c>
    </row>
    <row r="22" spans="1:1">
      <c r="A22" s="81" t="s">
        <v>724</v>
      </c>
    </row>
    <row r="23" spans="1:1">
      <c r="A23" s="81" t="s">
        <v>727</v>
      </c>
    </row>
    <row r="24" spans="1:1">
      <c r="A24" s="81" t="s">
        <v>728</v>
      </c>
    </row>
    <row r="25" spans="1:1">
      <c r="A25" s="81" t="s">
        <v>716</v>
      </c>
    </row>
    <row r="26" spans="1:1">
      <c r="A26" s="81" t="s">
        <v>729</v>
      </c>
    </row>
    <row r="27" spans="1:1">
      <c r="A27" s="81" t="s">
        <v>717</v>
      </c>
    </row>
    <row r="28" spans="1:1">
      <c r="A28" s="81" t="s">
        <v>723</v>
      </c>
    </row>
  </sheetData>
  <mergeCells count="2">
    <mergeCell ref="A7:K8"/>
    <mergeCell ref="A2: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FE02-9421-4B7E-B100-29AE5BFFA713}">
  <sheetPr codeName="Sheet4"/>
  <dimension ref="A1:F128"/>
  <sheetViews>
    <sheetView tabSelected="1" zoomScaleNormal="85" workbookViewId="0">
      <pane xSplit="1" ySplit="1" topLeftCell="B113" activePane="bottomRight" state="frozen"/>
      <selection pane="topRight" activeCell="B1" sqref="B1"/>
      <selection pane="bottomLeft" activeCell="A2" sqref="A2"/>
      <selection pane="bottomRight" activeCell="E121" sqref="E121"/>
    </sheetView>
  </sheetViews>
  <sheetFormatPr defaultColWidth="8.85546875" defaultRowHeight="15"/>
  <cols>
    <col min="1" max="1" width="24.42578125" style="119" bestFit="1" customWidth="1"/>
    <col min="2" max="2" width="29.42578125" style="91" customWidth="1"/>
    <col min="3" max="3" width="11" style="92" customWidth="1"/>
    <col min="4" max="4" width="102" style="11" customWidth="1"/>
    <col min="5" max="5" width="23.140625" customWidth="1"/>
    <col min="6" max="6" width="25.7109375" customWidth="1"/>
  </cols>
  <sheetData>
    <row r="1" spans="1:6">
      <c r="A1" s="10" t="s">
        <v>1</v>
      </c>
      <c r="B1" s="10" t="s">
        <v>75</v>
      </c>
      <c r="C1" s="8" t="s">
        <v>76</v>
      </c>
      <c r="D1" s="85" t="s">
        <v>77</v>
      </c>
      <c r="E1" s="8" t="s">
        <v>711</v>
      </c>
      <c r="F1" s="8" t="s">
        <v>731</v>
      </c>
    </row>
    <row r="2" spans="1:6">
      <c r="A2" s="113" t="s">
        <v>82</v>
      </c>
      <c r="B2" s="43" t="s">
        <v>85</v>
      </c>
      <c r="C2" s="87">
        <v>2016</v>
      </c>
      <c r="D2" s="45" t="s">
        <v>86</v>
      </c>
      <c r="E2" s="79" t="s">
        <v>710</v>
      </c>
      <c r="F2" s="79" t="s">
        <v>834</v>
      </c>
    </row>
    <row r="3" spans="1:6" ht="16.5" customHeight="1">
      <c r="A3" s="113" t="s">
        <v>82</v>
      </c>
      <c r="B3" s="43" t="s">
        <v>85</v>
      </c>
      <c r="C3" s="87">
        <v>2016</v>
      </c>
      <c r="D3" s="45" t="s">
        <v>87</v>
      </c>
      <c r="E3" s="79" t="s">
        <v>710</v>
      </c>
    </row>
    <row r="4" spans="1:6">
      <c r="A4" s="113" t="s">
        <v>82</v>
      </c>
      <c r="B4" s="43" t="s">
        <v>89</v>
      </c>
      <c r="C4" s="87">
        <v>2019</v>
      </c>
      <c r="D4" s="45" t="s">
        <v>692</v>
      </c>
      <c r="E4" s="79" t="s">
        <v>710</v>
      </c>
      <c r="F4" s="79" t="s">
        <v>830</v>
      </c>
    </row>
    <row r="5" spans="1:6" ht="30">
      <c r="A5" s="113" t="s">
        <v>107</v>
      </c>
      <c r="B5" s="43" t="s">
        <v>120</v>
      </c>
      <c r="C5" s="87">
        <v>2019</v>
      </c>
      <c r="D5" s="45" t="s">
        <v>121</v>
      </c>
      <c r="E5" s="79" t="s">
        <v>710</v>
      </c>
      <c r="F5" s="79"/>
    </row>
    <row r="6" spans="1:6" ht="30">
      <c r="A6" s="113" t="s">
        <v>122</v>
      </c>
      <c r="B6" s="43" t="s">
        <v>158</v>
      </c>
      <c r="C6" s="87">
        <v>2018</v>
      </c>
      <c r="D6" s="45" t="s">
        <v>160</v>
      </c>
      <c r="E6" s="79" t="s">
        <v>710</v>
      </c>
      <c r="F6" s="79"/>
    </row>
    <row r="7" spans="1:6">
      <c r="A7" s="113" t="s">
        <v>122</v>
      </c>
      <c r="B7" s="43" t="s">
        <v>158</v>
      </c>
      <c r="C7" s="87">
        <v>2019</v>
      </c>
      <c r="D7" s="82" t="s">
        <v>159</v>
      </c>
      <c r="E7" s="79" t="s">
        <v>710</v>
      </c>
      <c r="F7" s="79"/>
    </row>
    <row r="8" spans="1:6" ht="30">
      <c r="A8" s="113" t="s">
        <v>136</v>
      </c>
      <c r="B8" s="43" t="s">
        <v>96</v>
      </c>
      <c r="C8" s="87">
        <v>2016</v>
      </c>
      <c r="D8" s="45" t="s">
        <v>137</v>
      </c>
      <c r="E8" s="79" t="s">
        <v>710</v>
      </c>
      <c r="F8" s="79" t="s">
        <v>807</v>
      </c>
    </row>
    <row r="9" spans="1:6" ht="30">
      <c r="A9" s="113" t="s">
        <v>162</v>
      </c>
      <c r="B9" s="43" t="s">
        <v>171</v>
      </c>
      <c r="C9" s="87">
        <v>2019</v>
      </c>
      <c r="D9" s="45" t="s">
        <v>172</v>
      </c>
      <c r="E9" s="79" t="s">
        <v>710</v>
      </c>
      <c r="F9" s="79"/>
    </row>
    <row r="10" spans="1:6" ht="30">
      <c r="A10" s="113" t="s">
        <v>146</v>
      </c>
      <c r="B10" s="43" t="s">
        <v>79</v>
      </c>
      <c r="C10" s="87">
        <v>2018</v>
      </c>
      <c r="D10" s="45" t="s">
        <v>147</v>
      </c>
      <c r="E10" s="79" t="s">
        <v>710</v>
      </c>
      <c r="F10" s="79"/>
    </row>
    <row r="11" spans="1:6" ht="45">
      <c r="A11" s="113" t="s">
        <v>148</v>
      </c>
      <c r="B11" s="43" t="s">
        <v>83</v>
      </c>
      <c r="C11" s="87">
        <v>2019</v>
      </c>
      <c r="D11" s="45" t="s">
        <v>149</v>
      </c>
      <c r="E11" s="79" t="s">
        <v>710</v>
      </c>
      <c r="F11" s="79" t="s">
        <v>800</v>
      </c>
    </row>
    <row r="12" spans="1:6" ht="45">
      <c r="A12" s="113" t="s">
        <v>78</v>
      </c>
      <c r="B12" s="43" t="s">
        <v>79</v>
      </c>
      <c r="C12" s="87">
        <v>2018</v>
      </c>
      <c r="D12" s="45" t="s">
        <v>80</v>
      </c>
      <c r="E12" s="79" t="s">
        <v>712</v>
      </c>
      <c r="F12" s="79" t="s">
        <v>747</v>
      </c>
    </row>
    <row r="13" spans="1:6" ht="60">
      <c r="A13" s="113" t="s">
        <v>82</v>
      </c>
      <c r="B13" s="43" t="s">
        <v>89</v>
      </c>
      <c r="C13" s="87">
        <v>2019</v>
      </c>
      <c r="D13" s="45" t="s">
        <v>90</v>
      </c>
      <c r="E13" s="79" t="s">
        <v>712</v>
      </c>
      <c r="F13" s="79" t="s">
        <v>825</v>
      </c>
    </row>
    <row r="14" spans="1:6" ht="45">
      <c r="A14" s="113" t="s">
        <v>107</v>
      </c>
      <c r="B14" s="43" t="s">
        <v>79</v>
      </c>
      <c r="C14" s="87">
        <v>2018</v>
      </c>
      <c r="D14" s="45" t="s">
        <v>117</v>
      </c>
      <c r="E14" s="79" t="s">
        <v>712</v>
      </c>
      <c r="F14" s="79" t="s">
        <v>73</v>
      </c>
    </row>
    <row r="15" spans="1:6" ht="30">
      <c r="A15" s="113" t="s">
        <v>107</v>
      </c>
      <c r="B15" s="43" t="s">
        <v>118</v>
      </c>
      <c r="C15" s="87">
        <v>2018</v>
      </c>
      <c r="D15" s="45" t="s">
        <v>119</v>
      </c>
      <c r="E15" s="79" t="s">
        <v>712</v>
      </c>
      <c r="F15" s="79" t="s">
        <v>73</v>
      </c>
    </row>
    <row r="16" spans="1:6">
      <c r="A16" s="113" t="s">
        <v>122</v>
      </c>
      <c r="B16" s="43" t="s">
        <v>688</v>
      </c>
      <c r="C16" s="87">
        <v>2018</v>
      </c>
      <c r="D16" s="83" t="s">
        <v>690</v>
      </c>
      <c r="E16" s="79" t="s">
        <v>712</v>
      </c>
      <c r="F16" s="79" t="s">
        <v>73</v>
      </c>
    </row>
    <row r="17" spans="1:6" ht="30">
      <c r="A17" s="113" t="s">
        <v>126</v>
      </c>
      <c r="B17" s="43" t="s">
        <v>130</v>
      </c>
      <c r="C17" s="87">
        <v>2016</v>
      </c>
      <c r="D17" s="45" t="s">
        <v>131</v>
      </c>
      <c r="E17" s="79" t="s">
        <v>712</v>
      </c>
      <c r="F17" s="79" t="s">
        <v>73</v>
      </c>
    </row>
    <row r="18" spans="1:6" ht="30">
      <c r="A18" s="113" t="s">
        <v>126</v>
      </c>
      <c r="B18" s="43" t="s">
        <v>89</v>
      </c>
      <c r="C18" s="87">
        <v>2019</v>
      </c>
      <c r="D18" s="45" t="s">
        <v>685</v>
      </c>
      <c r="E18" s="79" t="s">
        <v>712</v>
      </c>
      <c r="F18" s="79" t="s">
        <v>73</v>
      </c>
    </row>
    <row r="19" spans="1:6" ht="30">
      <c r="A19" s="113" t="s">
        <v>136</v>
      </c>
      <c r="B19" s="43" t="s">
        <v>144</v>
      </c>
      <c r="C19" s="87">
        <v>2016</v>
      </c>
      <c r="D19" s="45" t="s">
        <v>145</v>
      </c>
      <c r="E19" s="79" t="s">
        <v>712</v>
      </c>
      <c r="F19" s="79" t="s">
        <v>742</v>
      </c>
    </row>
    <row r="20" spans="1:6" ht="30">
      <c r="A20" s="113" t="s">
        <v>136</v>
      </c>
      <c r="B20" s="43" t="s">
        <v>142</v>
      </c>
      <c r="C20" s="87">
        <v>2017</v>
      </c>
      <c r="D20" s="45" t="s">
        <v>143</v>
      </c>
      <c r="E20" s="79" t="s">
        <v>712</v>
      </c>
      <c r="F20" s="79"/>
    </row>
    <row r="21" spans="1:6" ht="45.75" customHeight="1">
      <c r="A21" s="113" t="s">
        <v>686</v>
      </c>
      <c r="B21" s="43" t="s">
        <v>85</v>
      </c>
      <c r="C21" s="87">
        <v>2016</v>
      </c>
      <c r="D21" s="45" t="s">
        <v>687</v>
      </c>
      <c r="E21" s="79" t="s">
        <v>712</v>
      </c>
      <c r="F21" s="79"/>
    </row>
    <row r="22" spans="1:6" ht="30">
      <c r="A22" s="113" t="s">
        <v>162</v>
      </c>
      <c r="B22" s="43" t="s">
        <v>166</v>
      </c>
      <c r="C22" s="87">
        <v>2018</v>
      </c>
      <c r="D22" s="45" t="s">
        <v>167</v>
      </c>
      <c r="E22" s="2" t="s">
        <v>712</v>
      </c>
      <c r="F22" s="79"/>
    </row>
    <row r="23" spans="1:6" ht="45">
      <c r="A23" s="113" t="s">
        <v>148</v>
      </c>
      <c r="B23" s="43" t="s">
        <v>89</v>
      </c>
      <c r="C23" s="87">
        <v>2019</v>
      </c>
      <c r="D23" s="82" t="s">
        <v>151</v>
      </c>
      <c r="E23" s="79" t="s">
        <v>712</v>
      </c>
      <c r="F23" s="79" t="s">
        <v>73</v>
      </c>
    </row>
    <row r="24" spans="1:6" ht="45">
      <c r="A24" s="113" t="s">
        <v>155</v>
      </c>
      <c r="B24" s="43" t="s">
        <v>156</v>
      </c>
      <c r="C24" s="87">
        <v>2016</v>
      </c>
      <c r="D24" s="45" t="s">
        <v>157</v>
      </c>
      <c r="E24" s="79" t="s">
        <v>712</v>
      </c>
      <c r="F24" s="79"/>
    </row>
    <row r="25" spans="1:6" ht="30">
      <c r="A25" s="113" t="s">
        <v>126</v>
      </c>
      <c r="B25" s="43" t="s">
        <v>133</v>
      </c>
      <c r="C25" s="87">
        <v>2019</v>
      </c>
      <c r="D25" s="45" t="s">
        <v>134</v>
      </c>
      <c r="E25" s="79" t="s">
        <v>713</v>
      </c>
      <c r="F25" s="79" t="s">
        <v>773</v>
      </c>
    </row>
    <row r="26" spans="1:6" ht="30">
      <c r="A26" s="113" t="s">
        <v>162</v>
      </c>
      <c r="B26" s="43" t="s">
        <v>714</v>
      </c>
      <c r="C26" s="87">
        <v>2016</v>
      </c>
      <c r="D26" s="45" t="s">
        <v>163</v>
      </c>
      <c r="E26" s="2" t="s">
        <v>713</v>
      </c>
      <c r="F26" s="79" t="s">
        <v>745</v>
      </c>
    </row>
    <row r="27" spans="1:6" ht="75">
      <c r="A27" s="113" t="s">
        <v>148</v>
      </c>
      <c r="B27" s="43" t="s">
        <v>83</v>
      </c>
      <c r="C27" s="87">
        <v>2018</v>
      </c>
      <c r="D27" s="45" t="s">
        <v>150</v>
      </c>
      <c r="E27" s="79" t="s">
        <v>713</v>
      </c>
      <c r="F27" s="79" t="s">
        <v>73</v>
      </c>
    </row>
    <row r="28" spans="1:6" ht="30">
      <c r="A28" s="113" t="s">
        <v>82</v>
      </c>
      <c r="B28" s="43" t="s">
        <v>83</v>
      </c>
      <c r="C28" s="87">
        <v>2020</v>
      </c>
      <c r="D28" s="45" t="s">
        <v>88</v>
      </c>
      <c r="E28" s="79" t="s">
        <v>725</v>
      </c>
      <c r="F28" s="79" t="s">
        <v>777</v>
      </c>
    </row>
    <row r="29" spans="1:6" ht="45">
      <c r="A29" s="113" t="s">
        <v>82</v>
      </c>
      <c r="B29" s="43" t="s">
        <v>91</v>
      </c>
      <c r="C29" s="87">
        <v>2020</v>
      </c>
      <c r="D29" s="45" t="s">
        <v>92</v>
      </c>
      <c r="E29" s="79" t="s">
        <v>725</v>
      </c>
      <c r="F29" s="79" t="s">
        <v>73</v>
      </c>
    </row>
    <row r="30" spans="1:6">
      <c r="A30" s="113" t="s">
        <v>82</v>
      </c>
      <c r="B30" s="43" t="s">
        <v>83</v>
      </c>
      <c r="C30" s="87">
        <v>2022</v>
      </c>
      <c r="D30" s="45" t="s">
        <v>84</v>
      </c>
      <c r="E30" s="79" t="s">
        <v>725</v>
      </c>
      <c r="F30" s="79"/>
    </row>
    <row r="31" spans="1:6">
      <c r="A31" s="113" t="s">
        <v>82</v>
      </c>
      <c r="B31" s="43" t="s">
        <v>709</v>
      </c>
      <c r="C31" s="87">
        <v>2020</v>
      </c>
      <c r="D31" s="45" t="s">
        <v>708</v>
      </c>
      <c r="E31" s="79" t="s">
        <v>725</v>
      </c>
      <c r="F31" s="79"/>
    </row>
    <row r="32" spans="1:6" ht="30">
      <c r="A32" s="113" t="s">
        <v>107</v>
      </c>
      <c r="B32" s="43" t="s">
        <v>114</v>
      </c>
      <c r="C32" s="87">
        <v>2020</v>
      </c>
      <c r="D32" s="45" t="s">
        <v>115</v>
      </c>
      <c r="E32" s="79" t="s">
        <v>725</v>
      </c>
      <c r="F32" s="79"/>
    </row>
    <row r="33" spans="1:6" ht="30">
      <c r="A33" s="113" t="s">
        <v>107</v>
      </c>
      <c r="B33" s="88" t="s">
        <v>112</v>
      </c>
      <c r="C33" s="89">
        <v>2022</v>
      </c>
      <c r="D33" s="82" t="s">
        <v>113</v>
      </c>
      <c r="E33" s="79" t="s">
        <v>725</v>
      </c>
      <c r="F33" s="79"/>
    </row>
    <row r="34" spans="1:6" ht="30">
      <c r="A34" s="113" t="s">
        <v>107</v>
      </c>
      <c r="B34" s="43" t="s">
        <v>83</v>
      </c>
      <c r="C34" s="87">
        <v>2022</v>
      </c>
      <c r="D34" s="45" t="s">
        <v>116</v>
      </c>
      <c r="E34" s="79" t="s">
        <v>725</v>
      </c>
      <c r="F34" s="79"/>
    </row>
    <row r="35" spans="1:6" ht="60">
      <c r="A35" s="113" t="s">
        <v>107</v>
      </c>
      <c r="B35" s="43" t="s">
        <v>164</v>
      </c>
      <c r="C35" s="87">
        <v>2020</v>
      </c>
      <c r="D35" s="82" t="s">
        <v>165</v>
      </c>
      <c r="E35" s="79" t="s">
        <v>725</v>
      </c>
      <c r="F35" s="79"/>
    </row>
    <row r="36" spans="1:6">
      <c r="A36" s="113" t="s">
        <v>122</v>
      </c>
      <c r="B36" s="43" t="s">
        <v>79</v>
      </c>
      <c r="C36" s="87">
        <v>2021</v>
      </c>
      <c r="D36" s="45" t="s">
        <v>125</v>
      </c>
      <c r="E36" s="79" t="s">
        <v>725</v>
      </c>
      <c r="F36" s="79" t="s">
        <v>73</v>
      </c>
    </row>
    <row r="37" spans="1:6" ht="30">
      <c r="A37" s="113" t="s">
        <v>122</v>
      </c>
      <c r="B37" s="43" t="s">
        <v>123</v>
      </c>
      <c r="C37" s="87">
        <v>2022</v>
      </c>
      <c r="D37" s="45" t="s">
        <v>124</v>
      </c>
      <c r="E37" s="79" t="s">
        <v>725</v>
      </c>
      <c r="F37" s="79" t="s">
        <v>73</v>
      </c>
    </row>
    <row r="38" spans="1:6" ht="30">
      <c r="A38" s="113" t="s">
        <v>126</v>
      </c>
      <c r="B38" s="43" t="s">
        <v>680</v>
      </c>
      <c r="C38" s="87">
        <v>2021</v>
      </c>
      <c r="D38" s="45" t="s">
        <v>681</v>
      </c>
      <c r="E38" s="79" t="s">
        <v>725</v>
      </c>
      <c r="F38" s="79" t="s">
        <v>73</v>
      </c>
    </row>
    <row r="39" spans="1:6" ht="30">
      <c r="A39" s="113" t="s">
        <v>126</v>
      </c>
      <c r="B39" s="43" t="s">
        <v>83</v>
      </c>
      <c r="C39" s="87">
        <v>2020</v>
      </c>
      <c r="D39" s="45" t="s">
        <v>132</v>
      </c>
      <c r="E39" s="79" t="s">
        <v>725</v>
      </c>
      <c r="F39" s="79" t="s">
        <v>73</v>
      </c>
    </row>
    <row r="40" spans="1:6" ht="60">
      <c r="A40" s="113" t="s">
        <v>126</v>
      </c>
      <c r="B40" s="43" t="s">
        <v>91</v>
      </c>
      <c r="C40" s="87">
        <v>2020</v>
      </c>
      <c r="D40" s="45" t="s">
        <v>135</v>
      </c>
      <c r="E40" s="79" t="s">
        <v>725</v>
      </c>
      <c r="F40" s="79" t="s">
        <v>73</v>
      </c>
    </row>
    <row r="41" spans="1:6" ht="30">
      <c r="A41" s="113" t="s">
        <v>126</v>
      </c>
      <c r="B41" s="43" t="s">
        <v>127</v>
      </c>
      <c r="C41" s="87">
        <v>2022</v>
      </c>
      <c r="D41" s="45" t="s">
        <v>128</v>
      </c>
      <c r="E41" s="79" t="s">
        <v>725</v>
      </c>
      <c r="F41" s="79" t="s">
        <v>73</v>
      </c>
    </row>
    <row r="42" spans="1:6" ht="30">
      <c r="A42" s="113" t="s">
        <v>126</v>
      </c>
      <c r="B42" s="43" t="s">
        <v>83</v>
      </c>
      <c r="C42" s="87">
        <v>2022</v>
      </c>
      <c r="D42" s="45" t="s">
        <v>129</v>
      </c>
      <c r="E42" s="79" t="s">
        <v>725</v>
      </c>
      <c r="F42" s="79" t="s">
        <v>73</v>
      </c>
    </row>
    <row r="43" spans="1:6" ht="30">
      <c r="A43" s="113" t="s">
        <v>136</v>
      </c>
      <c r="B43" s="43" t="s">
        <v>96</v>
      </c>
      <c r="C43" s="87">
        <v>2020</v>
      </c>
      <c r="D43" s="45" t="s">
        <v>138</v>
      </c>
      <c r="E43" s="79" t="s">
        <v>725</v>
      </c>
      <c r="F43" s="79" t="s">
        <v>73</v>
      </c>
    </row>
    <row r="44" spans="1:6" ht="30">
      <c r="A44" s="113" t="s">
        <v>136</v>
      </c>
      <c r="B44" s="43" t="s">
        <v>96</v>
      </c>
      <c r="C44" s="87">
        <v>2020</v>
      </c>
      <c r="D44" s="45" t="s">
        <v>139</v>
      </c>
      <c r="E44" s="79" t="s">
        <v>725</v>
      </c>
      <c r="F44" s="79" t="s">
        <v>73</v>
      </c>
    </row>
    <row r="45" spans="1:6" ht="30">
      <c r="A45" s="113" t="s">
        <v>136</v>
      </c>
      <c r="B45" s="43" t="s">
        <v>96</v>
      </c>
      <c r="C45" s="87">
        <v>2020</v>
      </c>
      <c r="D45" s="45" t="s">
        <v>140</v>
      </c>
      <c r="E45" s="79" t="s">
        <v>725</v>
      </c>
      <c r="F45" s="79" t="s">
        <v>73</v>
      </c>
    </row>
    <row r="46" spans="1:6" ht="45">
      <c r="A46" s="113" t="s">
        <v>136</v>
      </c>
      <c r="B46" s="43" t="s">
        <v>96</v>
      </c>
      <c r="C46" s="87">
        <v>2020</v>
      </c>
      <c r="D46" s="45" t="s">
        <v>141</v>
      </c>
      <c r="E46" s="79" t="s">
        <v>725</v>
      </c>
      <c r="F46" s="79" t="s">
        <v>73</v>
      </c>
    </row>
    <row r="47" spans="1:6" ht="30">
      <c r="A47" s="113" t="s">
        <v>682</v>
      </c>
      <c r="B47" s="43" t="s">
        <v>683</v>
      </c>
      <c r="C47" s="87">
        <v>2022</v>
      </c>
      <c r="D47" s="45" t="s">
        <v>684</v>
      </c>
      <c r="E47" s="79" t="s">
        <v>725</v>
      </c>
      <c r="F47" s="79" t="s">
        <v>750</v>
      </c>
    </row>
    <row r="48" spans="1:6" ht="60">
      <c r="A48" s="113" t="s">
        <v>152</v>
      </c>
      <c r="B48" s="43" t="s">
        <v>153</v>
      </c>
      <c r="C48" s="87">
        <v>2021</v>
      </c>
      <c r="D48" s="45" t="s">
        <v>154</v>
      </c>
      <c r="E48" s="79" t="s">
        <v>725</v>
      </c>
      <c r="F48" s="79" t="s">
        <v>73</v>
      </c>
    </row>
    <row r="49" spans="1:6" ht="30">
      <c r="A49" s="113" t="s">
        <v>82</v>
      </c>
      <c r="B49" s="43" t="s">
        <v>83</v>
      </c>
      <c r="C49" s="87">
        <v>2024</v>
      </c>
      <c r="D49" s="45" t="s">
        <v>707</v>
      </c>
      <c r="E49" s="79" t="s">
        <v>73</v>
      </c>
      <c r="F49" s="79" t="s">
        <v>73</v>
      </c>
    </row>
    <row r="50" spans="1:6" ht="30">
      <c r="A50" s="113" t="s">
        <v>93</v>
      </c>
      <c r="B50" s="43" t="s">
        <v>81</v>
      </c>
      <c r="C50" s="87">
        <v>2021</v>
      </c>
      <c r="D50" s="45" t="s">
        <v>94</v>
      </c>
      <c r="E50" s="79" t="s">
        <v>73</v>
      </c>
      <c r="F50" s="79"/>
    </row>
    <row r="51" spans="1:6" ht="30">
      <c r="A51" s="113" t="s">
        <v>95</v>
      </c>
      <c r="B51" s="43" t="s">
        <v>96</v>
      </c>
      <c r="C51" s="87">
        <v>2020</v>
      </c>
      <c r="D51" s="45" t="s">
        <v>97</v>
      </c>
      <c r="E51" s="79" t="s">
        <v>73</v>
      </c>
      <c r="F51" s="79"/>
    </row>
    <row r="52" spans="1:6" ht="150">
      <c r="A52" s="113" t="s">
        <v>95</v>
      </c>
      <c r="B52" s="43" t="s">
        <v>96</v>
      </c>
      <c r="C52" s="87">
        <v>2020</v>
      </c>
      <c r="D52" s="82" t="s">
        <v>98</v>
      </c>
      <c r="E52" s="79" t="s">
        <v>73</v>
      </c>
      <c r="F52" s="79"/>
    </row>
    <row r="53" spans="1:6" ht="30">
      <c r="A53" s="113" t="s">
        <v>95</v>
      </c>
      <c r="B53" s="43" t="s">
        <v>96</v>
      </c>
      <c r="C53" s="87">
        <v>2020</v>
      </c>
      <c r="D53" s="45" t="s">
        <v>99</v>
      </c>
      <c r="E53" s="79" t="s">
        <v>73</v>
      </c>
      <c r="F53" s="79" t="s">
        <v>73</v>
      </c>
    </row>
    <row r="54" spans="1:6" ht="45">
      <c r="A54" s="113" t="s">
        <v>100</v>
      </c>
      <c r="B54" s="43" t="s">
        <v>83</v>
      </c>
      <c r="C54" s="87">
        <v>2020</v>
      </c>
      <c r="D54" s="45" t="s">
        <v>101</v>
      </c>
      <c r="E54" s="79" t="s">
        <v>73</v>
      </c>
      <c r="F54" s="79" t="s">
        <v>73</v>
      </c>
    </row>
    <row r="55" spans="1:6" ht="30">
      <c r="A55" s="113" t="s">
        <v>102</v>
      </c>
      <c r="B55" s="43" t="s">
        <v>103</v>
      </c>
      <c r="C55" s="87">
        <v>2020</v>
      </c>
      <c r="D55" s="45" t="s">
        <v>104</v>
      </c>
      <c r="E55" s="79" t="s">
        <v>73</v>
      </c>
      <c r="F55" s="79"/>
    </row>
    <row r="56" spans="1:6" ht="30">
      <c r="A56" s="113" t="s">
        <v>102</v>
      </c>
      <c r="B56" s="43" t="s">
        <v>83</v>
      </c>
      <c r="C56" s="87">
        <v>2020</v>
      </c>
      <c r="D56" s="82" t="s">
        <v>105</v>
      </c>
      <c r="E56" s="79" t="s">
        <v>73</v>
      </c>
      <c r="F56" s="79"/>
    </row>
    <row r="57" spans="1:6" ht="45">
      <c r="A57" s="113" t="s">
        <v>102</v>
      </c>
      <c r="B57" s="43" t="s">
        <v>83</v>
      </c>
      <c r="C57" s="87">
        <v>2020</v>
      </c>
      <c r="D57" s="45" t="s">
        <v>106</v>
      </c>
      <c r="E57" s="79" t="s">
        <v>73</v>
      </c>
      <c r="F57" s="79"/>
    </row>
    <row r="58" spans="1:6" ht="30">
      <c r="A58" s="113" t="s">
        <v>704</v>
      </c>
      <c r="B58" s="43" t="s">
        <v>705</v>
      </c>
      <c r="C58" s="87">
        <v>2025</v>
      </c>
      <c r="D58" s="45" t="s">
        <v>706</v>
      </c>
      <c r="E58" s="79" t="s">
        <v>73</v>
      </c>
      <c r="F58" s="79"/>
    </row>
    <row r="59" spans="1:6" ht="30">
      <c r="A59" s="113" t="s">
        <v>107</v>
      </c>
      <c r="B59" s="43" t="s">
        <v>108</v>
      </c>
      <c r="C59" s="87">
        <v>2023</v>
      </c>
      <c r="D59" s="45" t="s">
        <v>109</v>
      </c>
      <c r="E59" s="79" t="s">
        <v>73</v>
      </c>
      <c r="F59" s="79"/>
    </row>
    <row r="60" spans="1:6" ht="30">
      <c r="A60" s="113" t="s">
        <v>107</v>
      </c>
      <c r="B60" s="43" t="s">
        <v>110</v>
      </c>
      <c r="C60" s="87">
        <v>2023</v>
      </c>
      <c r="D60" s="45" t="s">
        <v>111</v>
      </c>
      <c r="E60" s="79" t="s">
        <v>73</v>
      </c>
      <c r="F60" s="79"/>
    </row>
    <row r="61" spans="1:6" ht="30">
      <c r="A61" s="113" t="s">
        <v>107</v>
      </c>
      <c r="B61" s="43" t="s">
        <v>142</v>
      </c>
      <c r="C61" s="87">
        <v>2023</v>
      </c>
      <c r="D61" s="45" t="s">
        <v>675</v>
      </c>
      <c r="E61" s="79" t="s">
        <v>73</v>
      </c>
      <c r="F61" s="79"/>
    </row>
    <row r="62" spans="1:6" ht="30">
      <c r="A62" s="113" t="s">
        <v>122</v>
      </c>
      <c r="B62" s="43" t="s">
        <v>142</v>
      </c>
      <c r="C62" s="87">
        <v>2023</v>
      </c>
      <c r="D62" s="45" t="s">
        <v>676</v>
      </c>
      <c r="E62" s="79" t="s">
        <v>73</v>
      </c>
      <c r="F62" s="79"/>
    </row>
    <row r="63" spans="1:6" ht="45">
      <c r="A63" s="113" t="s">
        <v>122</v>
      </c>
      <c r="B63" s="43"/>
      <c r="C63" s="87"/>
      <c r="D63" s="82" t="s">
        <v>161</v>
      </c>
      <c r="E63" s="79" t="s">
        <v>73</v>
      </c>
      <c r="F63" s="79"/>
    </row>
    <row r="64" spans="1:6" ht="47.25" customHeight="1">
      <c r="A64" s="113" t="s">
        <v>122</v>
      </c>
      <c r="B64" s="43" t="s">
        <v>166</v>
      </c>
      <c r="C64" s="87">
        <v>2025</v>
      </c>
      <c r="D64" s="45" t="s">
        <v>703</v>
      </c>
      <c r="E64" s="79" t="s">
        <v>73</v>
      </c>
      <c r="F64" s="79"/>
    </row>
    <row r="65" spans="1:6" ht="30">
      <c r="A65" s="113" t="s">
        <v>122</v>
      </c>
      <c r="B65" s="43" t="s">
        <v>166</v>
      </c>
      <c r="C65" s="87">
        <v>2025</v>
      </c>
      <c r="D65" s="45" t="s">
        <v>702</v>
      </c>
      <c r="E65" s="79" t="s">
        <v>73</v>
      </c>
      <c r="F65" s="79"/>
    </row>
    <row r="66" spans="1:6" ht="29.25" customHeight="1">
      <c r="A66" s="113" t="s">
        <v>122</v>
      </c>
      <c r="B66" s="43" t="s">
        <v>166</v>
      </c>
      <c r="C66" s="87">
        <v>2025</v>
      </c>
      <c r="D66" s="45" t="s">
        <v>701</v>
      </c>
      <c r="E66" s="79" t="s">
        <v>73</v>
      </c>
      <c r="F66" s="79"/>
    </row>
    <row r="67" spans="1:6" ht="29.25" customHeight="1">
      <c r="A67" s="113" t="s">
        <v>122</v>
      </c>
      <c r="B67" s="43" t="s">
        <v>166</v>
      </c>
      <c r="C67" s="87">
        <v>2025</v>
      </c>
      <c r="D67" s="45" t="s">
        <v>700</v>
      </c>
      <c r="E67" s="79" t="s">
        <v>73</v>
      </c>
      <c r="F67" s="79"/>
    </row>
    <row r="68" spans="1:6" ht="29.25" customHeight="1">
      <c r="A68" s="113" t="s">
        <v>122</v>
      </c>
      <c r="B68" s="43" t="s">
        <v>166</v>
      </c>
      <c r="C68" s="87">
        <v>2025</v>
      </c>
      <c r="D68" s="45" t="s">
        <v>699</v>
      </c>
      <c r="E68" s="79" t="s">
        <v>73</v>
      </c>
      <c r="F68" s="79"/>
    </row>
    <row r="69" spans="1:6" ht="30">
      <c r="A69" s="113" t="s">
        <v>122</v>
      </c>
      <c r="B69" s="43" t="s">
        <v>672</v>
      </c>
      <c r="C69" s="87">
        <v>2023</v>
      </c>
      <c r="D69" s="45" t="s">
        <v>671</v>
      </c>
      <c r="E69" s="79" t="s">
        <v>73</v>
      </c>
      <c r="F69" s="2"/>
    </row>
    <row r="70" spans="1:6" ht="45">
      <c r="A70" s="113" t="s">
        <v>122</v>
      </c>
      <c r="B70" s="43" t="s">
        <v>672</v>
      </c>
      <c r="C70" s="87">
        <v>2023</v>
      </c>
      <c r="D70" s="45" t="s">
        <v>689</v>
      </c>
      <c r="E70" s="79" t="s">
        <v>73</v>
      </c>
      <c r="F70" s="2"/>
    </row>
    <row r="71" spans="1:6" ht="30">
      <c r="A71" s="113" t="s">
        <v>122</v>
      </c>
      <c r="B71" s="43" t="s">
        <v>672</v>
      </c>
      <c r="C71" s="87">
        <v>2023</v>
      </c>
      <c r="D71" s="45" t="s">
        <v>674</v>
      </c>
      <c r="E71" s="79" t="s">
        <v>73</v>
      </c>
      <c r="F71" s="79"/>
    </row>
    <row r="72" spans="1:6" ht="30">
      <c r="A72" s="113" t="s">
        <v>122</v>
      </c>
      <c r="B72" s="43" t="s">
        <v>672</v>
      </c>
      <c r="C72" s="87">
        <v>2023</v>
      </c>
      <c r="D72" s="45" t="s">
        <v>673</v>
      </c>
      <c r="E72" s="79" t="s">
        <v>73</v>
      </c>
      <c r="F72" s="79"/>
    </row>
    <row r="73" spans="1:6">
      <c r="A73" s="113" t="s">
        <v>122</v>
      </c>
      <c r="B73" s="43" t="s">
        <v>83</v>
      </c>
      <c r="C73" s="87">
        <v>2023</v>
      </c>
      <c r="D73" s="45" t="s">
        <v>678</v>
      </c>
      <c r="E73" s="79" t="s">
        <v>73</v>
      </c>
      <c r="F73" s="79"/>
    </row>
    <row r="74" spans="1:6">
      <c r="A74" s="113" t="s">
        <v>168</v>
      </c>
      <c r="B74" s="43" t="s">
        <v>169</v>
      </c>
      <c r="C74" s="87"/>
      <c r="D74" s="84" t="s">
        <v>170</v>
      </c>
      <c r="E74" s="79" t="s">
        <v>73</v>
      </c>
      <c r="F74" s="79" t="s">
        <v>73</v>
      </c>
    </row>
    <row r="75" spans="1:6">
      <c r="A75" s="113" t="s">
        <v>697</v>
      </c>
      <c r="B75" s="43"/>
      <c r="C75" s="87"/>
      <c r="D75" s="45" t="s">
        <v>698</v>
      </c>
      <c r="E75" s="79" t="s">
        <v>73</v>
      </c>
      <c r="F75" s="79"/>
    </row>
    <row r="76" spans="1:6" ht="30">
      <c r="A76" s="113" t="s">
        <v>126</v>
      </c>
      <c r="B76" s="43" t="s">
        <v>83</v>
      </c>
      <c r="C76" s="87">
        <v>2023</v>
      </c>
      <c r="D76" s="45" t="s">
        <v>691</v>
      </c>
      <c r="E76" s="79" t="s">
        <v>73</v>
      </c>
      <c r="F76" s="79"/>
    </row>
    <row r="77" spans="1:6">
      <c r="A77" s="113" t="s">
        <v>126</v>
      </c>
      <c r="B77" s="43" t="s">
        <v>83</v>
      </c>
      <c r="C77" s="87">
        <v>2023</v>
      </c>
      <c r="D77" s="82" t="s">
        <v>679</v>
      </c>
      <c r="E77" s="79" t="s">
        <v>73</v>
      </c>
      <c r="F77" s="79"/>
    </row>
    <row r="78" spans="1:6" ht="30">
      <c r="A78" s="113" t="s">
        <v>148</v>
      </c>
      <c r="B78" s="43" t="s">
        <v>83</v>
      </c>
      <c r="C78" s="87">
        <v>2023</v>
      </c>
      <c r="D78" s="45" t="s">
        <v>677</v>
      </c>
      <c r="E78" s="79" t="s">
        <v>73</v>
      </c>
      <c r="F78" s="79"/>
    </row>
    <row r="79" spans="1:6" ht="30">
      <c r="A79" s="114" t="s">
        <v>136</v>
      </c>
      <c r="B79" s="90" t="s">
        <v>740</v>
      </c>
      <c r="C79" s="87">
        <v>2024</v>
      </c>
      <c r="D79" s="11" t="s">
        <v>741</v>
      </c>
      <c r="E79" s="79" t="s">
        <v>756</v>
      </c>
      <c r="F79" s="79"/>
    </row>
    <row r="80" spans="1:6" ht="45">
      <c r="A80" s="114" t="s">
        <v>162</v>
      </c>
      <c r="B80" s="90" t="s">
        <v>743</v>
      </c>
      <c r="C80" s="87">
        <v>2024</v>
      </c>
      <c r="D80" s="79" t="s">
        <v>744</v>
      </c>
      <c r="E80" s="86" t="s">
        <v>758</v>
      </c>
      <c r="F80" s="79"/>
    </row>
    <row r="81" spans="1:6" ht="60">
      <c r="A81" s="114" t="s">
        <v>162</v>
      </c>
      <c r="B81" s="90" t="s">
        <v>740</v>
      </c>
      <c r="C81" s="87">
        <v>2024</v>
      </c>
      <c r="D81" s="45" t="s">
        <v>746</v>
      </c>
      <c r="E81" s="79" t="s">
        <v>757</v>
      </c>
      <c r="F81" s="79"/>
    </row>
    <row r="82" spans="1:6" ht="30">
      <c r="A82" s="114" t="s">
        <v>78</v>
      </c>
      <c r="B82" s="90" t="s">
        <v>740</v>
      </c>
      <c r="C82" s="87">
        <v>2024</v>
      </c>
      <c r="D82" s="45" t="s">
        <v>748</v>
      </c>
      <c r="E82" s="79" t="s">
        <v>759</v>
      </c>
      <c r="F82" s="79"/>
    </row>
    <row r="83" spans="1:6" ht="45">
      <c r="A83" s="114" t="s">
        <v>682</v>
      </c>
      <c r="B83" s="90" t="s">
        <v>740</v>
      </c>
      <c r="C83" s="87">
        <v>2024</v>
      </c>
      <c r="D83" s="45" t="s">
        <v>749</v>
      </c>
      <c r="E83" s="79" t="s">
        <v>760</v>
      </c>
      <c r="F83" s="79"/>
    </row>
    <row r="84" spans="1:6" ht="30">
      <c r="A84" s="115" t="s">
        <v>751</v>
      </c>
      <c r="B84" s="105" t="s">
        <v>740</v>
      </c>
      <c r="C84" s="102">
        <v>2024</v>
      </c>
      <c r="D84" s="11" t="s">
        <v>752</v>
      </c>
      <c r="E84" s="79" t="s">
        <v>758</v>
      </c>
      <c r="F84" s="79"/>
    </row>
    <row r="85" spans="1:6" ht="30">
      <c r="A85" s="116"/>
      <c r="B85" s="106"/>
      <c r="C85" s="103"/>
      <c r="D85" s="45" t="s">
        <v>753</v>
      </c>
      <c r="E85" s="79" t="s">
        <v>758</v>
      </c>
      <c r="F85" s="79"/>
    </row>
    <row r="86" spans="1:6" ht="30">
      <c r="A86" s="116"/>
      <c r="B86" s="106"/>
      <c r="C86" s="103"/>
      <c r="D86" s="45" t="s">
        <v>754</v>
      </c>
      <c r="E86" s="79" t="s">
        <v>758</v>
      </c>
      <c r="F86" s="79"/>
    </row>
    <row r="87" spans="1:6" ht="30">
      <c r="A87" s="117"/>
      <c r="B87" s="107"/>
      <c r="C87" s="104"/>
      <c r="D87" s="45" t="s">
        <v>755</v>
      </c>
      <c r="E87" s="79" t="s">
        <v>758</v>
      </c>
      <c r="F87" s="79"/>
    </row>
    <row r="88" spans="1:6" ht="30">
      <c r="A88" s="114" t="s">
        <v>704</v>
      </c>
      <c r="B88" s="90" t="s">
        <v>740</v>
      </c>
      <c r="C88" s="87">
        <v>2024</v>
      </c>
      <c r="D88" s="11" t="s">
        <v>761</v>
      </c>
      <c r="E88" s="79" t="s">
        <v>758</v>
      </c>
      <c r="F88" s="79"/>
    </row>
    <row r="89" spans="1:6">
      <c r="A89" s="114" t="s">
        <v>162</v>
      </c>
      <c r="B89" s="90" t="s">
        <v>762</v>
      </c>
      <c r="C89" s="87">
        <v>2024</v>
      </c>
      <c r="D89" s="45" t="s">
        <v>763</v>
      </c>
      <c r="E89" s="79" t="s">
        <v>758</v>
      </c>
      <c r="F89" s="79"/>
    </row>
    <row r="90" spans="1:6">
      <c r="A90" s="114" t="s">
        <v>78</v>
      </c>
      <c r="B90" s="90" t="s">
        <v>740</v>
      </c>
      <c r="C90" s="87">
        <v>2024</v>
      </c>
      <c r="D90" s="45" t="s">
        <v>764</v>
      </c>
      <c r="E90" s="79" t="s">
        <v>758</v>
      </c>
      <c r="F90" s="79"/>
    </row>
    <row r="91" spans="1:6">
      <c r="A91" s="114" t="s">
        <v>697</v>
      </c>
      <c r="B91" s="90" t="s">
        <v>740</v>
      </c>
      <c r="C91" s="87">
        <v>2024</v>
      </c>
      <c r="D91" s="79" t="s">
        <v>765</v>
      </c>
      <c r="E91" s="79" t="s">
        <v>758</v>
      </c>
      <c r="F91" s="79"/>
    </row>
    <row r="92" spans="1:6" ht="45">
      <c r="A92" s="114" t="s">
        <v>682</v>
      </c>
      <c r="B92" s="90" t="s">
        <v>740</v>
      </c>
      <c r="C92" s="87">
        <v>2024</v>
      </c>
      <c r="D92" s="45" t="s">
        <v>766</v>
      </c>
      <c r="E92" s="79" t="s">
        <v>758</v>
      </c>
      <c r="F92" s="79"/>
    </row>
    <row r="93" spans="1:6" ht="45">
      <c r="A93" s="114" t="s">
        <v>136</v>
      </c>
      <c r="B93" s="90" t="s">
        <v>740</v>
      </c>
      <c r="C93" s="87">
        <v>2024</v>
      </c>
      <c r="D93" s="45" t="s">
        <v>767</v>
      </c>
      <c r="E93" s="79" t="s">
        <v>758</v>
      </c>
      <c r="F93" s="79"/>
    </row>
    <row r="94" spans="1:6" ht="60">
      <c r="A94" s="114" t="s">
        <v>126</v>
      </c>
      <c r="B94" s="90" t="s">
        <v>774</v>
      </c>
      <c r="C94" s="87">
        <v>2025</v>
      </c>
      <c r="D94" s="45" t="s">
        <v>775</v>
      </c>
      <c r="E94" s="79" t="s">
        <v>776</v>
      </c>
      <c r="F94" s="79"/>
    </row>
    <row r="95" spans="1:6" ht="60">
      <c r="A95" s="114" t="s">
        <v>82</v>
      </c>
      <c r="B95" s="90" t="s">
        <v>774</v>
      </c>
      <c r="C95" s="87">
        <v>2025</v>
      </c>
      <c r="D95" s="45" t="s">
        <v>778</v>
      </c>
      <c r="E95" s="79" t="s">
        <v>779</v>
      </c>
      <c r="F95" s="79"/>
    </row>
    <row r="96" spans="1:6" ht="45">
      <c r="A96" s="114" t="s">
        <v>82</v>
      </c>
      <c r="B96" s="90" t="s">
        <v>774</v>
      </c>
      <c r="C96" s="87">
        <v>2025</v>
      </c>
      <c r="D96" s="11" t="s">
        <v>788</v>
      </c>
      <c r="E96" s="79" t="s">
        <v>758</v>
      </c>
      <c r="F96" s="79"/>
    </row>
    <row r="97" spans="1:6" ht="45">
      <c r="A97" s="114" t="s">
        <v>148</v>
      </c>
      <c r="B97" s="90" t="s">
        <v>774</v>
      </c>
      <c r="C97" s="87">
        <v>2025</v>
      </c>
      <c r="D97" s="45" t="s">
        <v>803</v>
      </c>
      <c r="E97" s="79" t="s">
        <v>758</v>
      </c>
      <c r="F97" s="79"/>
    </row>
    <row r="98" spans="1:6" ht="60">
      <c r="A98" s="115" t="s">
        <v>146</v>
      </c>
      <c r="B98" s="105" t="s">
        <v>794</v>
      </c>
      <c r="C98" s="102">
        <v>2024</v>
      </c>
      <c r="D98" s="45" t="s">
        <v>793</v>
      </c>
      <c r="E98" s="79" t="s">
        <v>758</v>
      </c>
      <c r="F98" s="79"/>
    </row>
    <row r="99" spans="1:6" ht="60">
      <c r="A99" s="116"/>
      <c r="B99" s="106"/>
      <c r="C99" s="103"/>
      <c r="D99" s="97" t="s">
        <v>795</v>
      </c>
      <c r="E99" s="79" t="s">
        <v>758</v>
      </c>
      <c r="F99" s="79"/>
    </row>
    <row r="100" spans="1:6" ht="30">
      <c r="A100" s="116"/>
      <c r="B100" s="106"/>
      <c r="C100" s="103"/>
      <c r="D100" s="96" t="s">
        <v>796</v>
      </c>
      <c r="E100" s="79" t="s">
        <v>758</v>
      </c>
      <c r="F100" s="79"/>
    </row>
    <row r="101" spans="1:6" ht="45">
      <c r="A101" s="117"/>
      <c r="B101" s="107"/>
      <c r="C101" s="104"/>
      <c r="D101" s="45" t="s">
        <v>797</v>
      </c>
      <c r="E101" s="79" t="s">
        <v>758</v>
      </c>
      <c r="F101" s="79"/>
    </row>
    <row r="102" spans="1:6" ht="60">
      <c r="A102" s="114" t="s">
        <v>122</v>
      </c>
      <c r="B102" s="90" t="s">
        <v>798</v>
      </c>
      <c r="C102" s="87">
        <v>2024</v>
      </c>
      <c r="D102" s="11" t="s">
        <v>799</v>
      </c>
      <c r="E102" s="79" t="s">
        <v>758</v>
      </c>
      <c r="F102" s="79"/>
    </row>
    <row r="103" spans="1:6" ht="75">
      <c r="A103" s="114" t="s">
        <v>148</v>
      </c>
      <c r="B103" s="90" t="s">
        <v>798</v>
      </c>
      <c r="C103" s="87">
        <v>2024</v>
      </c>
      <c r="D103" s="45" t="s">
        <v>801</v>
      </c>
      <c r="E103" s="79" t="s">
        <v>802</v>
      </c>
      <c r="F103" s="79"/>
    </row>
    <row r="104" spans="1:6" ht="45">
      <c r="A104" s="114" t="s">
        <v>697</v>
      </c>
      <c r="B104" s="90" t="s">
        <v>798</v>
      </c>
      <c r="C104" s="87">
        <v>2024</v>
      </c>
      <c r="D104" s="11" t="s">
        <v>804</v>
      </c>
      <c r="E104" s="79" t="s">
        <v>758</v>
      </c>
      <c r="F104" s="79"/>
    </row>
    <row r="105" spans="1:6" ht="30">
      <c r="A105" s="114" t="s">
        <v>704</v>
      </c>
      <c r="B105" s="90" t="s">
        <v>798</v>
      </c>
      <c r="C105" s="87">
        <v>2024</v>
      </c>
      <c r="D105" s="45" t="s">
        <v>805</v>
      </c>
      <c r="E105" s="79" t="s">
        <v>758</v>
      </c>
      <c r="F105" s="79"/>
    </row>
    <row r="106" spans="1:6" ht="60">
      <c r="A106" s="114" t="s">
        <v>136</v>
      </c>
      <c r="B106" s="90" t="s">
        <v>809</v>
      </c>
      <c r="C106" s="87">
        <v>2024</v>
      </c>
      <c r="D106" s="11" t="s">
        <v>806</v>
      </c>
      <c r="E106" s="79" t="s">
        <v>808</v>
      </c>
      <c r="F106" s="79"/>
    </row>
    <row r="107" spans="1:6" ht="29.25">
      <c r="A107" s="115" t="s">
        <v>812</v>
      </c>
      <c r="B107" s="105" t="s">
        <v>811</v>
      </c>
      <c r="C107" s="102">
        <v>2024</v>
      </c>
      <c r="D107" s="98" t="s">
        <v>810</v>
      </c>
      <c r="E107" s="79" t="s">
        <v>758</v>
      </c>
      <c r="F107" s="79"/>
    </row>
    <row r="108" spans="1:6" ht="30">
      <c r="A108" s="116"/>
      <c r="B108" s="106"/>
      <c r="C108" s="103"/>
      <c r="D108" s="97" t="s">
        <v>813</v>
      </c>
      <c r="E108" s="79" t="s">
        <v>758</v>
      </c>
      <c r="F108" s="79"/>
    </row>
    <row r="109" spans="1:6" ht="30">
      <c r="A109" s="117"/>
      <c r="B109" s="107"/>
      <c r="C109" s="104"/>
      <c r="D109" s="97" t="s">
        <v>814</v>
      </c>
      <c r="E109" s="79" t="s">
        <v>758</v>
      </c>
      <c r="F109" s="79"/>
    </row>
    <row r="110" spans="1:6" ht="30">
      <c r="A110" s="115" t="s">
        <v>815</v>
      </c>
      <c r="B110" s="105" t="s">
        <v>811</v>
      </c>
      <c r="C110" s="102">
        <v>2024</v>
      </c>
      <c r="D110" s="97" t="s">
        <v>816</v>
      </c>
      <c r="E110" s="79" t="s">
        <v>758</v>
      </c>
      <c r="F110" s="79"/>
    </row>
    <row r="111" spans="1:6" ht="45">
      <c r="A111" s="116"/>
      <c r="B111" s="106"/>
      <c r="C111" s="103"/>
      <c r="D111" s="97" t="s">
        <v>817</v>
      </c>
      <c r="E111" s="79" t="s">
        <v>758</v>
      </c>
      <c r="F111" s="79"/>
    </row>
    <row r="112" spans="1:6" ht="45">
      <c r="A112" s="117"/>
      <c r="B112" s="107"/>
      <c r="C112" s="104"/>
      <c r="D112" s="97" t="s">
        <v>818</v>
      </c>
      <c r="E112" s="79" t="s">
        <v>758</v>
      </c>
      <c r="F112" s="79"/>
    </row>
    <row r="113" spans="1:6" ht="45">
      <c r="A113" s="115" t="s">
        <v>812</v>
      </c>
      <c r="B113" s="105" t="s">
        <v>811</v>
      </c>
      <c r="C113" s="102">
        <v>2024</v>
      </c>
      <c r="D113" s="45" t="s">
        <v>819</v>
      </c>
      <c r="E113" s="79" t="s">
        <v>758</v>
      </c>
      <c r="F113" s="79"/>
    </row>
    <row r="114" spans="1:6" ht="15.95" customHeight="1">
      <c r="A114" s="116"/>
      <c r="B114" s="106"/>
      <c r="C114" s="103"/>
      <c r="D114" s="45" t="s">
        <v>820</v>
      </c>
      <c r="E114" s="79" t="s">
        <v>758</v>
      </c>
      <c r="F114" s="79"/>
    </row>
    <row r="115" spans="1:6" ht="30">
      <c r="A115" s="116"/>
      <c r="B115" s="106"/>
      <c r="C115" s="103"/>
      <c r="D115" s="45" t="s">
        <v>821</v>
      </c>
      <c r="E115" s="79" t="s">
        <v>758</v>
      </c>
      <c r="F115" s="79"/>
    </row>
    <row r="116" spans="1:6" ht="30">
      <c r="A116" s="117"/>
      <c r="B116" s="107"/>
      <c r="C116" s="104"/>
      <c r="D116" s="45" t="s">
        <v>822</v>
      </c>
      <c r="E116" s="79" t="s">
        <v>758</v>
      </c>
      <c r="F116" s="79"/>
    </row>
    <row r="117" spans="1:6" ht="45">
      <c r="A117" s="115" t="s">
        <v>82</v>
      </c>
      <c r="B117" s="105" t="s">
        <v>824</v>
      </c>
      <c r="C117" s="102">
        <v>2023</v>
      </c>
      <c r="D117" s="121" t="s">
        <v>823</v>
      </c>
      <c r="E117" s="79" t="s">
        <v>826</v>
      </c>
      <c r="F117" s="79"/>
    </row>
    <row r="118" spans="1:6" ht="60">
      <c r="A118" s="116"/>
      <c r="B118" s="106"/>
      <c r="C118" s="103"/>
      <c r="D118" s="120" t="s">
        <v>828</v>
      </c>
      <c r="E118" s="79" t="s">
        <v>827</v>
      </c>
      <c r="F118" s="79"/>
    </row>
    <row r="119" spans="1:6" ht="45">
      <c r="A119" s="116"/>
      <c r="B119" s="107"/>
      <c r="C119" s="104"/>
      <c r="D119" s="45" t="s">
        <v>829</v>
      </c>
      <c r="E119" s="79" t="s">
        <v>827</v>
      </c>
      <c r="F119" s="79"/>
    </row>
    <row r="120" spans="1:6" ht="43.5">
      <c r="A120" s="116"/>
      <c r="B120" s="105" t="s">
        <v>833</v>
      </c>
      <c r="C120" s="102">
        <v>2023</v>
      </c>
      <c r="D120" s="122" t="s">
        <v>831</v>
      </c>
      <c r="E120" s="79" t="s">
        <v>835</v>
      </c>
      <c r="F120" s="79"/>
    </row>
    <row r="121" spans="1:6" ht="45">
      <c r="A121" s="117"/>
      <c r="B121" s="107"/>
      <c r="C121" s="104"/>
      <c r="D121" s="45" t="s">
        <v>832</v>
      </c>
      <c r="E121" s="79" t="s">
        <v>835</v>
      </c>
      <c r="F121" s="79"/>
    </row>
    <row r="122" spans="1:6">
      <c r="A122" s="118"/>
      <c r="B122" s="99"/>
      <c r="C122" s="100"/>
      <c r="D122" s="45"/>
      <c r="E122" s="79"/>
      <c r="F122" s="79"/>
    </row>
    <row r="123" spans="1:6">
      <c r="A123" s="118"/>
      <c r="B123" s="99"/>
      <c r="C123" s="100"/>
      <c r="D123" s="45"/>
      <c r="E123" s="79"/>
      <c r="F123" s="79"/>
    </row>
    <row r="124" spans="1:6">
      <c r="A124" s="118"/>
      <c r="B124" s="99"/>
      <c r="C124" s="100"/>
      <c r="D124" s="45"/>
      <c r="E124" s="79"/>
      <c r="F124" s="79"/>
    </row>
    <row r="125" spans="1:6">
      <c r="A125" s="118"/>
      <c r="B125" s="99"/>
      <c r="C125" s="100"/>
      <c r="D125" s="45"/>
      <c r="E125" s="79"/>
      <c r="F125" s="79"/>
    </row>
    <row r="126" spans="1:6">
      <c r="A126" s="118"/>
      <c r="B126" s="99"/>
      <c r="C126" s="100"/>
      <c r="D126" s="45"/>
      <c r="E126" s="79"/>
      <c r="F126" s="79"/>
    </row>
    <row r="127" spans="1:6">
      <c r="A127" s="118"/>
      <c r="B127" s="99"/>
      <c r="C127" s="100"/>
      <c r="D127" s="45"/>
      <c r="E127" s="79"/>
      <c r="F127" s="79"/>
    </row>
    <row r="128" spans="1:6">
      <c r="A128" s="118"/>
      <c r="B128" s="99"/>
      <c r="C128" s="100"/>
      <c r="D128" s="45"/>
      <c r="E128" s="79"/>
      <c r="F128" s="79"/>
    </row>
  </sheetData>
  <autoFilter ref="A1:E116" xr:uid="{B0A0FE02-9421-4B7E-B100-29AE5BFFA713}">
    <sortState xmlns:xlrd2="http://schemas.microsoft.com/office/spreadsheetml/2017/richdata2" ref="A2:E78">
      <sortCondition sortBy="cellColor" ref="E1:E78" dxfId="6"/>
    </sortState>
  </autoFilter>
  <mergeCells count="20">
    <mergeCell ref="B117:B119"/>
    <mergeCell ref="C117:C119"/>
    <mergeCell ref="B120:B121"/>
    <mergeCell ref="C120:C121"/>
    <mergeCell ref="A117:A121"/>
    <mergeCell ref="C84:C87"/>
    <mergeCell ref="B84:B87"/>
    <mergeCell ref="A84:A87"/>
    <mergeCell ref="C98:C101"/>
    <mergeCell ref="B98:B101"/>
    <mergeCell ref="A98:A101"/>
    <mergeCell ref="C113:C116"/>
    <mergeCell ref="B113:B116"/>
    <mergeCell ref="A113:A116"/>
    <mergeCell ref="A107:A109"/>
    <mergeCell ref="B107:B109"/>
    <mergeCell ref="C107:C109"/>
    <mergeCell ref="A110:A112"/>
    <mergeCell ref="B110:B112"/>
    <mergeCell ref="C110:C112"/>
  </mergeCells>
  <phoneticPr fontId="10" type="noConversion"/>
  <conditionalFormatting sqref="E2:E78 E80">
    <cfRule type="containsText" dxfId="5" priority="4" operator="containsText" text="High">
      <formula>NOT(ISERROR(SEARCH("High",E2)))</formula>
    </cfRule>
    <cfRule type="containsText" dxfId="4" priority="5" operator="containsText" text="Low">
      <formula>NOT(ISERROR(SEARCH("Low",E2)))</formula>
    </cfRule>
    <cfRule type="containsText" dxfId="3" priority="6" operator="containsText" text="Medium">
      <formula>NOT(ISERROR(SEARCH("Medium",E2)))</formula>
    </cfRule>
  </conditionalFormatting>
  <conditionalFormatting sqref="E2:E1048576">
    <cfRule type="containsText" dxfId="2" priority="1" operator="containsText" text="New">
      <formula>NOT(ISERROR(SEARCH("New",E2)))</formula>
    </cfRule>
    <cfRule type="containsText" dxfId="1" priority="2" operator="containsText" text="Updated">
      <formula>NOT(ISERROR(SEARCH("Updated",E2)))</formula>
    </cfRule>
  </conditionalFormatting>
  <conditionalFormatting sqref="F4:F1048576 F1:F2">
    <cfRule type="containsText" dxfId="0" priority="3" operator="containsText" text="Yes">
      <formula>NOT(ISERROR(SEARCH("Yes",F1)))</formula>
    </cfRule>
  </conditionalFormatting>
  <hyperlinks>
    <hyperlink ref="B79" r:id="rId1" xr:uid="{484BA5A6-A5AF-3D41-8F03-22046B4FF77B}"/>
    <hyperlink ref="B80" r:id="rId2" xr:uid="{56DEF583-113E-9C41-AC3F-75387C094152}"/>
    <hyperlink ref="B81" r:id="rId3" xr:uid="{4027C3E6-B855-3C40-AF29-C193885FA075}"/>
    <hyperlink ref="B82" r:id="rId4" xr:uid="{DAC42556-9C83-0B43-AD68-B731B1908B78}"/>
    <hyperlink ref="B83" r:id="rId5" xr:uid="{7DA9C549-8AC1-BF49-A284-846D12EDFB5A}"/>
    <hyperlink ref="B84:B87" r:id="rId6" display="GEN Youth Now" xr:uid="{E12EA71F-11BD-0C4C-A9F1-39A9749FC4C5}"/>
    <hyperlink ref="B88:B90" r:id="rId7" display="GEN Youth Now" xr:uid="{8EB08054-3E36-684F-A12B-A49649221FB2}"/>
    <hyperlink ref="B91" r:id="rId8" xr:uid="{F4CB6BA0-60BF-2F4A-BB5A-01C1E5E7350B}"/>
    <hyperlink ref="B92" r:id="rId9" xr:uid="{F685622F-0ED7-8540-B6F1-E862FAC34BDD}"/>
    <hyperlink ref="B93" r:id="rId10" xr:uid="{710F280A-23A7-F54A-AD1B-A7D38D165719}"/>
    <hyperlink ref="B94" r:id="rId11" xr:uid="{9E5EC9D6-6A63-D643-BF8F-C2EFD849AF5E}"/>
    <hyperlink ref="B95" r:id="rId12" xr:uid="{5FE37549-E371-B543-8B80-B58EC7B41A87}"/>
    <hyperlink ref="B96" r:id="rId13" xr:uid="{093EC79C-BE27-5545-BCCB-FDE5D00CB0C6}"/>
    <hyperlink ref="B97" r:id="rId14" xr:uid="{AFA61A79-4622-C447-8336-FDC4DFAD6D78}"/>
    <hyperlink ref="B98" r:id="rId15" xr:uid="{81612694-D8CA-CC4C-A4C2-1C15DB3B09EB}"/>
    <hyperlink ref="B102:B105" r:id="rId16" display="Beyond Sport" xr:uid="{AEF05F5A-40A5-A543-A157-665D03753EF2}"/>
    <hyperlink ref="B106" r:id="rId17" xr:uid="{10A1709F-4D0F-D042-A34C-B4DFDE4EE9CD}"/>
    <hyperlink ref="B107" r:id="rId18" xr:uid="{06A05FF6-274D-1B4A-8811-DF9EBFFC7408}"/>
    <hyperlink ref="B110" r:id="rId19" xr:uid="{74D68D22-CE13-C54B-9702-89034539EDBD}"/>
    <hyperlink ref="B113" r:id="rId20" xr:uid="{6976E736-1AC7-6146-894C-EA9ED57B2DB6}"/>
    <hyperlink ref="B117" r:id="rId21" xr:uid="{6BA5032A-CBCF-423D-8711-B99482EC1127}"/>
    <hyperlink ref="B120:B121" r:id="rId22" display="Petaluma" xr:uid="{B8000508-F9EF-44DF-AA3A-19629F986EF1}"/>
  </hyperlinks>
  <pageMargins left="0.7" right="0.7" top="0.75" bottom="0.75" header="0.3" footer="0.3"/>
  <pageSetup orientation="portrait" r:id="rId23"/>
  <legacyDrawing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C4EF-AB6A-3348-A122-825EC8F35A2B}">
  <dimension ref="A1:D37"/>
  <sheetViews>
    <sheetView workbookViewId="0">
      <selection activeCell="K33" sqref="K33"/>
    </sheetView>
  </sheetViews>
  <sheetFormatPr defaultColWidth="11.42578125" defaultRowHeight="15"/>
  <cols>
    <col min="1" max="1" width="32.28515625" bestFit="1" customWidth="1"/>
  </cols>
  <sheetData>
    <row r="1" spans="1:2">
      <c r="A1" t="s">
        <v>780</v>
      </c>
    </row>
    <row r="2" spans="1:2">
      <c r="A2" s="108" t="s">
        <v>772</v>
      </c>
      <c r="B2" s="108"/>
    </row>
    <row r="3" spans="1:2">
      <c r="A3" t="s">
        <v>768</v>
      </c>
      <c r="B3" s="93">
        <v>0.21</v>
      </c>
    </row>
    <row r="4" spans="1:2">
      <c r="A4" t="s">
        <v>769</v>
      </c>
      <c r="B4" s="93">
        <v>0.33</v>
      </c>
    </row>
    <row r="5" spans="1:2">
      <c r="A5" t="s">
        <v>770</v>
      </c>
      <c r="B5" s="93">
        <v>0.48</v>
      </c>
    </row>
    <row r="6" spans="1:2">
      <c r="B6" s="93">
        <f>SUM(B3:B5)</f>
        <v>1.02</v>
      </c>
    </row>
    <row r="7" spans="1:2">
      <c r="A7" s="108" t="s">
        <v>771</v>
      </c>
      <c r="B7" s="108"/>
    </row>
    <row r="8" spans="1:2">
      <c r="A8" t="s">
        <v>768</v>
      </c>
      <c r="B8" s="93">
        <v>0.46</v>
      </c>
    </row>
    <row r="9" spans="1:2">
      <c r="A9" t="s">
        <v>769</v>
      </c>
      <c r="B9" s="93">
        <v>0.63</v>
      </c>
    </row>
    <row r="10" spans="1:2">
      <c r="A10" t="s">
        <v>770</v>
      </c>
      <c r="B10" s="93">
        <v>0.77</v>
      </c>
    </row>
    <row r="11" spans="1:2">
      <c r="B11" s="93">
        <f>SUM(B8:B10)</f>
        <v>1.86</v>
      </c>
    </row>
    <row r="17" spans="1:2">
      <c r="A17" t="s">
        <v>781</v>
      </c>
    </row>
    <row r="18" spans="1:2">
      <c r="A18" s="109" t="s">
        <v>787</v>
      </c>
      <c r="B18" s="109"/>
    </row>
    <row r="19" spans="1:2">
      <c r="A19" s="109" t="s">
        <v>782</v>
      </c>
      <c r="B19" s="109"/>
    </row>
    <row r="20" spans="1:2">
      <c r="A20" t="s">
        <v>783</v>
      </c>
      <c r="B20" s="94">
        <v>890</v>
      </c>
    </row>
    <row r="21" spans="1:2">
      <c r="A21" t="s">
        <v>784</v>
      </c>
      <c r="B21" s="94">
        <v>1387</v>
      </c>
    </row>
    <row r="22" spans="1:2">
      <c r="A22" t="s">
        <v>785</v>
      </c>
      <c r="B22" s="94">
        <v>2361</v>
      </c>
    </row>
    <row r="24" spans="1:2" ht="90">
      <c r="A24" s="11" t="s">
        <v>786</v>
      </c>
    </row>
    <row r="32" spans="1:2">
      <c r="A32" t="s">
        <v>789</v>
      </c>
    </row>
    <row r="33" spans="1:4">
      <c r="A33" s="109" t="s">
        <v>790</v>
      </c>
      <c r="B33" s="109"/>
    </row>
    <row r="34" spans="1:4">
      <c r="A34" s="80" t="s">
        <v>653</v>
      </c>
      <c r="B34" s="80">
        <v>2019</v>
      </c>
      <c r="C34" s="80">
        <v>2024</v>
      </c>
      <c r="D34" s="80" t="s">
        <v>792</v>
      </c>
    </row>
    <row r="35" spans="1:4">
      <c r="A35" t="s">
        <v>668</v>
      </c>
      <c r="B35" s="94">
        <v>660</v>
      </c>
      <c r="C35" s="94">
        <v>1113</v>
      </c>
      <c r="D35" s="95">
        <f>(C35-B35)/B35</f>
        <v>0.6863636363636364</v>
      </c>
    </row>
    <row r="36" spans="1:4">
      <c r="A36" t="s">
        <v>791</v>
      </c>
      <c r="B36" s="94">
        <v>537</v>
      </c>
      <c r="C36" s="94">
        <v>910</v>
      </c>
      <c r="D36" s="95">
        <f>(C36-B36)/B36</f>
        <v>0.6945996275605214</v>
      </c>
    </row>
    <row r="37" spans="1:4">
      <c r="A37" t="s">
        <v>660</v>
      </c>
      <c r="B37" s="94">
        <v>427</v>
      </c>
      <c r="C37" s="94">
        <v>876</v>
      </c>
      <c r="D37" s="95">
        <f>(C37-B37)/B37</f>
        <v>1.0515222482435598</v>
      </c>
    </row>
  </sheetData>
  <mergeCells count="5">
    <mergeCell ref="A2:B2"/>
    <mergeCell ref="A7:B7"/>
    <mergeCell ref="A18:B18"/>
    <mergeCell ref="A19:B19"/>
    <mergeCell ref="A33:B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D4E8-8517-491A-B94A-AAC5DEE3AD6A}">
  <dimension ref="A1:C3"/>
  <sheetViews>
    <sheetView workbookViewId="0">
      <selection activeCell="A4" sqref="A4"/>
    </sheetView>
  </sheetViews>
  <sheetFormatPr defaultColWidth="8.85546875" defaultRowHeight="15"/>
  <cols>
    <col min="1" max="2" width="28.7109375" customWidth="1"/>
  </cols>
  <sheetData>
    <row r="1" spans="1:3">
      <c r="B1" s="80" t="s">
        <v>1</v>
      </c>
    </row>
    <row r="2" spans="1:3">
      <c r="B2" t="s">
        <v>695</v>
      </c>
    </row>
    <row r="3" spans="1:3">
      <c r="A3" t="s">
        <v>696</v>
      </c>
      <c r="B3" t="s">
        <v>694</v>
      </c>
      <c r="C3" t="s">
        <v>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C5B4-9C45-4EA8-8E83-6345979B34C6}">
  <sheetPr filterMode="1"/>
  <dimension ref="A1:I48"/>
  <sheetViews>
    <sheetView zoomScale="120" zoomScaleNormal="120" zoomScaleSheetLayoutView="50" workbookViewId="0">
      <pane xSplit="1" ySplit="2" topLeftCell="B14" activePane="bottomRight" state="frozen"/>
      <selection pane="topRight" activeCell="B1" sqref="B1"/>
      <selection pane="bottomLeft" activeCell="A2" sqref="A2"/>
      <selection pane="bottomRight" activeCell="B33" sqref="B33"/>
    </sheetView>
  </sheetViews>
  <sheetFormatPr defaultColWidth="8.85546875" defaultRowHeight="15"/>
  <cols>
    <col min="1" max="1" width="28.140625" style="11" customWidth="1"/>
    <col min="2" max="2" width="20.140625" style="11" customWidth="1"/>
    <col min="3" max="3" width="11.85546875" style="11" bestFit="1" customWidth="1"/>
    <col min="4" max="4" width="13" style="11" bestFit="1" customWidth="1"/>
    <col min="5" max="5" width="18.85546875" style="11" customWidth="1"/>
    <col min="6" max="6" width="25.85546875" style="11" customWidth="1"/>
    <col min="7" max="7" width="33.42578125" style="11" customWidth="1"/>
    <col min="8" max="8" width="20.85546875" style="11" customWidth="1"/>
    <col min="9" max="9" width="54.140625" style="11" customWidth="1"/>
  </cols>
  <sheetData>
    <row r="1" spans="1:9">
      <c r="A1" s="63"/>
      <c r="B1" s="110" t="s">
        <v>251</v>
      </c>
      <c r="C1" s="110"/>
      <c r="D1" s="110"/>
      <c r="E1" s="110"/>
      <c r="F1" s="110"/>
      <c r="G1" s="110"/>
      <c r="H1" s="110"/>
      <c r="I1" s="110"/>
    </row>
    <row r="2" spans="1:9">
      <c r="A2" s="19" t="s">
        <v>252</v>
      </c>
      <c r="B2" s="59" t="s">
        <v>253</v>
      </c>
      <c r="C2" s="59" t="s">
        <v>254</v>
      </c>
      <c r="D2" s="59" t="s">
        <v>255</v>
      </c>
      <c r="E2" s="59" t="s">
        <v>256</v>
      </c>
      <c r="F2" s="59" t="s">
        <v>257</v>
      </c>
      <c r="G2" s="59" t="s">
        <v>258</v>
      </c>
      <c r="H2" s="59" t="s">
        <v>259</v>
      </c>
      <c r="I2" s="19" t="s">
        <v>260</v>
      </c>
    </row>
    <row r="3" spans="1:9">
      <c r="A3" s="23" t="s">
        <v>261</v>
      </c>
      <c r="B3" s="9"/>
      <c r="C3" s="9" t="s">
        <v>262</v>
      </c>
      <c r="D3" s="9" t="s">
        <v>73</v>
      </c>
      <c r="E3" s="65"/>
      <c r="F3" s="65"/>
      <c r="G3" s="65"/>
      <c r="H3" s="65"/>
      <c r="I3" s="65"/>
    </row>
    <row r="4" spans="1:9">
      <c r="A4" s="64" t="s">
        <v>263</v>
      </c>
      <c r="B4" s="9"/>
      <c r="C4" s="9" t="s">
        <v>262</v>
      </c>
      <c r="D4" s="9" t="s">
        <v>73</v>
      </c>
      <c r="E4" s="65"/>
      <c r="F4" s="65"/>
      <c r="G4" s="65"/>
      <c r="H4" s="65"/>
      <c r="I4" s="65"/>
    </row>
    <row r="5" spans="1:9" ht="45">
      <c r="A5" s="23" t="s">
        <v>264</v>
      </c>
      <c r="B5" s="9"/>
      <c r="C5" s="9" t="s">
        <v>262</v>
      </c>
      <c r="D5" s="9" t="s">
        <v>265</v>
      </c>
      <c r="E5" s="65"/>
      <c r="F5" s="65"/>
      <c r="G5" s="65"/>
      <c r="H5" s="65"/>
      <c r="I5" s="65"/>
    </row>
    <row r="6" spans="1:9" ht="30">
      <c r="A6" s="23" t="s">
        <v>266</v>
      </c>
      <c r="B6" s="9" t="s">
        <v>267</v>
      </c>
      <c r="C6" s="9" t="s">
        <v>262</v>
      </c>
      <c r="D6" s="9" t="s">
        <v>265</v>
      </c>
      <c r="E6" s="65"/>
      <c r="F6" s="65" t="s">
        <v>268</v>
      </c>
      <c r="G6" s="65" t="s">
        <v>269</v>
      </c>
      <c r="H6" s="65" t="s">
        <v>270</v>
      </c>
      <c r="I6" s="65" t="s">
        <v>271</v>
      </c>
    </row>
    <row r="7" spans="1:9" ht="30.75" hidden="1" customHeight="1">
      <c r="A7" s="23" t="s">
        <v>272</v>
      </c>
      <c r="B7" s="9"/>
      <c r="C7" s="9"/>
      <c r="D7" s="9"/>
      <c r="E7" s="65"/>
      <c r="F7" s="65"/>
      <c r="G7" s="65"/>
      <c r="H7" s="65"/>
      <c r="I7" s="65"/>
    </row>
    <row r="8" spans="1:9">
      <c r="A8" s="23" t="s">
        <v>273</v>
      </c>
      <c r="B8" s="9"/>
      <c r="C8" s="9" t="s">
        <v>262</v>
      </c>
      <c r="D8" s="9" t="s">
        <v>265</v>
      </c>
      <c r="E8" s="65"/>
      <c r="F8" s="65"/>
      <c r="G8" s="65"/>
      <c r="H8" s="65"/>
      <c r="I8" s="65"/>
    </row>
    <row r="9" spans="1:9">
      <c r="A9" s="23" t="s">
        <v>274</v>
      </c>
      <c r="B9" s="9"/>
      <c r="C9" s="9" t="s">
        <v>262</v>
      </c>
      <c r="D9" s="9" t="s">
        <v>265</v>
      </c>
      <c r="E9" s="65"/>
      <c r="F9" s="65"/>
      <c r="G9" s="65"/>
      <c r="H9" s="65"/>
      <c r="I9" s="65"/>
    </row>
    <row r="10" spans="1:9" ht="30">
      <c r="A10" s="23" t="s">
        <v>275</v>
      </c>
      <c r="B10" s="9"/>
      <c r="C10" s="9" t="s">
        <v>262</v>
      </c>
      <c r="D10" s="9" t="s">
        <v>265</v>
      </c>
      <c r="E10" s="65"/>
      <c r="F10" s="65"/>
      <c r="G10" s="65"/>
      <c r="H10" s="65"/>
      <c r="I10" s="65"/>
    </row>
    <row r="11" spans="1:9" ht="30">
      <c r="A11" s="23" t="s">
        <v>276</v>
      </c>
      <c r="B11" s="9"/>
      <c r="C11" s="9" t="s">
        <v>262</v>
      </c>
      <c r="D11" s="9" t="s">
        <v>265</v>
      </c>
      <c r="E11" s="65"/>
      <c r="F11" s="65"/>
      <c r="G11" s="65"/>
      <c r="H11" s="65"/>
      <c r="I11" s="65"/>
    </row>
    <row r="12" spans="1:9" ht="62.45" customHeight="1">
      <c r="A12" s="23" t="s">
        <v>277</v>
      </c>
      <c r="B12" s="9"/>
      <c r="C12" s="9" t="s">
        <v>262</v>
      </c>
      <c r="D12" s="9" t="s">
        <v>265</v>
      </c>
      <c r="E12" s="65"/>
      <c r="F12" s="65"/>
      <c r="G12" s="65"/>
      <c r="H12" s="65"/>
      <c r="I12" s="65"/>
    </row>
    <row r="13" spans="1:9" ht="30" hidden="1">
      <c r="A13" s="64" t="s">
        <v>278</v>
      </c>
      <c r="B13" s="9" t="s">
        <v>267</v>
      </c>
      <c r="C13" s="9"/>
      <c r="D13" s="9"/>
      <c r="E13" s="65"/>
      <c r="F13" s="65"/>
      <c r="G13" s="65"/>
      <c r="H13" s="65"/>
      <c r="I13" s="65" t="s">
        <v>279</v>
      </c>
    </row>
    <row r="14" spans="1:9">
      <c r="A14" s="23" t="s">
        <v>280</v>
      </c>
      <c r="B14" s="9"/>
      <c r="C14" s="9" t="s">
        <v>281</v>
      </c>
      <c r="D14" s="9" t="s">
        <v>265</v>
      </c>
      <c r="E14" s="65"/>
      <c r="F14" s="65"/>
      <c r="G14" s="65"/>
      <c r="H14" s="65"/>
      <c r="I14" s="65"/>
    </row>
    <row r="15" spans="1:9">
      <c r="A15" s="23" t="s">
        <v>282</v>
      </c>
      <c r="B15" s="9"/>
      <c r="C15" s="9" t="s">
        <v>262</v>
      </c>
      <c r="D15" s="9" t="s">
        <v>265</v>
      </c>
      <c r="E15" s="65"/>
      <c r="F15" s="65"/>
      <c r="G15" s="65"/>
      <c r="H15" s="65"/>
      <c r="I15" s="65"/>
    </row>
    <row r="16" spans="1:9" ht="41.25" customHeight="1">
      <c r="A16" s="23" t="s">
        <v>283</v>
      </c>
      <c r="B16" s="9"/>
      <c r="C16" s="9" t="s">
        <v>262</v>
      </c>
      <c r="D16" s="9" t="s">
        <v>265</v>
      </c>
      <c r="E16" s="65"/>
      <c r="F16" s="65"/>
      <c r="G16" s="65"/>
      <c r="H16" s="65"/>
      <c r="I16" s="65"/>
    </row>
    <row r="17" spans="1:9">
      <c r="A17" s="23" t="s">
        <v>284</v>
      </c>
      <c r="B17" s="9"/>
      <c r="C17" s="9" t="s">
        <v>262</v>
      </c>
      <c r="D17" s="9" t="s">
        <v>265</v>
      </c>
      <c r="E17" s="65"/>
      <c r="F17" s="65"/>
      <c r="G17" s="65"/>
      <c r="H17" s="65"/>
      <c r="I17" s="65"/>
    </row>
    <row r="18" spans="1:9">
      <c r="A18" s="23" t="s">
        <v>285</v>
      </c>
      <c r="B18" s="9"/>
      <c r="C18" s="9" t="s">
        <v>262</v>
      </c>
      <c r="D18" s="9" t="s">
        <v>265</v>
      </c>
      <c r="E18" s="65"/>
      <c r="F18" s="65"/>
      <c r="G18" s="65"/>
      <c r="H18" s="65"/>
      <c r="I18" s="65"/>
    </row>
    <row r="19" spans="1:9">
      <c r="A19" s="23" t="s">
        <v>286</v>
      </c>
      <c r="B19" s="9"/>
      <c r="C19" s="9" t="s">
        <v>281</v>
      </c>
      <c r="D19" s="9" t="s">
        <v>265</v>
      </c>
      <c r="E19" s="65"/>
      <c r="F19" s="65"/>
      <c r="G19" s="65"/>
      <c r="H19" s="65"/>
      <c r="I19" s="65"/>
    </row>
    <row r="20" spans="1:9">
      <c r="A20" s="23" t="s">
        <v>287</v>
      </c>
      <c r="B20" s="9" t="s">
        <v>288</v>
      </c>
      <c r="C20" s="9" t="s">
        <v>281</v>
      </c>
      <c r="D20" s="9" t="s">
        <v>289</v>
      </c>
      <c r="E20" s="65" t="s">
        <v>288</v>
      </c>
      <c r="F20" s="65"/>
      <c r="G20" s="65"/>
      <c r="H20" s="65"/>
      <c r="I20" s="17"/>
    </row>
    <row r="21" spans="1:9" hidden="1">
      <c r="A21" s="23" t="s">
        <v>290</v>
      </c>
      <c r="B21" s="9" t="s">
        <v>291</v>
      </c>
      <c r="C21" s="9" t="s">
        <v>281</v>
      </c>
      <c r="D21" s="9"/>
      <c r="E21" s="65"/>
      <c r="F21" s="65"/>
      <c r="G21" s="65"/>
      <c r="H21" s="65"/>
      <c r="I21" s="17"/>
    </row>
    <row r="22" spans="1:9">
      <c r="A22" s="23" t="s">
        <v>292</v>
      </c>
      <c r="B22" s="9" t="s">
        <v>293</v>
      </c>
      <c r="C22" s="9" t="s">
        <v>281</v>
      </c>
      <c r="D22" s="9" t="s">
        <v>289</v>
      </c>
      <c r="E22" s="65" t="s">
        <v>294</v>
      </c>
      <c r="F22" s="65"/>
      <c r="G22" s="65"/>
      <c r="H22" s="65"/>
      <c r="I22" s="65"/>
    </row>
    <row r="23" spans="1:9">
      <c r="A23" s="23" t="s">
        <v>295</v>
      </c>
      <c r="B23" s="9" t="s">
        <v>296</v>
      </c>
      <c r="C23" s="9" t="s">
        <v>281</v>
      </c>
      <c r="D23" s="9" t="s">
        <v>289</v>
      </c>
      <c r="E23" s="65" t="s">
        <v>288</v>
      </c>
      <c r="F23" s="65"/>
      <c r="G23" s="65"/>
      <c r="H23" s="65"/>
      <c r="I23" s="65"/>
    </row>
    <row r="24" spans="1:9" ht="15" customHeight="1">
      <c r="A24" s="23" t="s">
        <v>297</v>
      </c>
      <c r="B24" s="9" t="s">
        <v>293</v>
      </c>
      <c r="C24" s="9" t="s">
        <v>281</v>
      </c>
      <c r="D24" s="9" t="s">
        <v>289</v>
      </c>
      <c r="E24" s="65" t="s">
        <v>298</v>
      </c>
      <c r="F24" s="65"/>
      <c r="G24" s="65"/>
      <c r="H24" s="65"/>
      <c r="I24" s="65"/>
    </row>
    <row r="25" spans="1:9" ht="14.45" customHeight="1">
      <c r="A25" s="23" t="s">
        <v>299</v>
      </c>
      <c r="B25" s="9" t="s">
        <v>296</v>
      </c>
      <c r="C25" s="9" t="s">
        <v>281</v>
      </c>
      <c r="D25" s="9" t="s">
        <v>289</v>
      </c>
      <c r="E25" s="65" t="s">
        <v>294</v>
      </c>
      <c r="F25" s="65" t="s">
        <v>300</v>
      </c>
      <c r="G25" s="65"/>
      <c r="H25" s="65"/>
      <c r="I25" s="65"/>
    </row>
    <row r="26" spans="1:9">
      <c r="A26" s="23" t="s">
        <v>301</v>
      </c>
      <c r="B26" s="9" t="s">
        <v>293</v>
      </c>
      <c r="C26" s="9" t="s">
        <v>281</v>
      </c>
      <c r="D26" s="9" t="s">
        <v>289</v>
      </c>
      <c r="E26" s="65" t="s">
        <v>298</v>
      </c>
      <c r="F26" s="65"/>
      <c r="G26" s="65"/>
      <c r="H26" s="65"/>
      <c r="I26" s="65"/>
    </row>
    <row r="27" spans="1:9" ht="14.25" customHeight="1">
      <c r="A27" s="23" t="s">
        <v>302</v>
      </c>
      <c r="B27" s="9" t="s">
        <v>303</v>
      </c>
      <c r="C27" s="9" t="s">
        <v>281</v>
      </c>
      <c r="D27" s="9" t="s">
        <v>289</v>
      </c>
      <c r="E27" s="65" t="s">
        <v>294</v>
      </c>
      <c r="F27" s="65"/>
      <c r="G27" s="65"/>
      <c r="H27" s="65"/>
      <c r="I27" s="65"/>
    </row>
    <row r="28" spans="1:9">
      <c r="A28" s="23" t="s">
        <v>304</v>
      </c>
      <c r="B28" s="9" t="s">
        <v>293</v>
      </c>
      <c r="C28" s="9" t="s">
        <v>281</v>
      </c>
      <c r="D28" s="9" t="s">
        <v>289</v>
      </c>
      <c r="E28" s="65" t="s">
        <v>298</v>
      </c>
      <c r="F28" s="65"/>
      <c r="G28" s="65"/>
      <c r="H28" s="65"/>
      <c r="I28" s="65"/>
    </row>
    <row r="29" spans="1:9">
      <c r="A29" s="23" t="s">
        <v>305</v>
      </c>
      <c r="B29" s="9" t="s">
        <v>306</v>
      </c>
      <c r="C29" s="9" t="s">
        <v>281</v>
      </c>
      <c r="D29" s="9" t="s">
        <v>289</v>
      </c>
      <c r="E29" s="65" t="s">
        <v>307</v>
      </c>
      <c r="F29" s="65"/>
      <c r="G29" s="65"/>
      <c r="H29" s="65"/>
      <c r="I29" s="65"/>
    </row>
    <row r="30" spans="1:9">
      <c r="A30" s="23" t="s">
        <v>308</v>
      </c>
      <c r="B30" s="9" t="s">
        <v>296</v>
      </c>
      <c r="C30" s="9" t="s">
        <v>281</v>
      </c>
      <c r="D30" s="9" t="s">
        <v>289</v>
      </c>
      <c r="E30" s="65" t="s">
        <v>288</v>
      </c>
      <c r="F30" s="65"/>
      <c r="G30" s="65"/>
      <c r="H30" s="65"/>
      <c r="I30" s="65"/>
    </row>
    <row r="31" spans="1:9">
      <c r="A31" s="23" t="s">
        <v>309</v>
      </c>
      <c r="B31" s="9" t="s">
        <v>288</v>
      </c>
      <c r="C31" s="9" t="s">
        <v>281</v>
      </c>
      <c r="D31" s="9" t="s">
        <v>289</v>
      </c>
      <c r="E31" s="65" t="s">
        <v>288</v>
      </c>
      <c r="F31" s="65"/>
      <c r="G31" s="65"/>
      <c r="H31" s="65"/>
      <c r="I31" s="65"/>
    </row>
    <row r="32" spans="1:9" ht="24.75">
      <c r="A32" s="23" t="s">
        <v>310</v>
      </c>
      <c r="B32" s="9" t="s">
        <v>306</v>
      </c>
      <c r="C32" s="9" t="s">
        <v>281</v>
      </c>
      <c r="D32" s="9" t="s">
        <v>311</v>
      </c>
      <c r="E32" s="65" t="s">
        <v>312</v>
      </c>
      <c r="F32" s="65"/>
      <c r="G32" s="65"/>
      <c r="H32" s="65"/>
      <c r="I32" s="65"/>
    </row>
    <row r="33" spans="1:9">
      <c r="A33" s="23" t="s">
        <v>313</v>
      </c>
      <c r="B33" s="9"/>
      <c r="C33" s="9" t="s">
        <v>281</v>
      </c>
      <c r="D33" s="9" t="s">
        <v>311</v>
      </c>
      <c r="E33" s="65"/>
      <c r="F33" s="65"/>
      <c r="G33" s="65"/>
      <c r="H33" s="65"/>
      <c r="I33" s="65"/>
    </row>
    <row r="34" spans="1:9">
      <c r="A34" s="23" t="s">
        <v>314</v>
      </c>
      <c r="B34" s="9"/>
      <c r="C34" s="9" t="s">
        <v>281</v>
      </c>
      <c r="D34" s="9" t="s">
        <v>311</v>
      </c>
      <c r="E34" s="65"/>
      <c r="F34" s="65"/>
      <c r="G34" s="65"/>
      <c r="H34" s="65"/>
      <c r="I34" s="65"/>
    </row>
    <row r="35" spans="1:9" ht="30">
      <c r="A35" s="23" t="s">
        <v>315</v>
      </c>
      <c r="B35" s="9"/>
      <c r="C35" s="9" t="s">
        <v>262</v>
      </c>
      <c r="D35" s="9" t="s">
        <v>311</v>
      </c>
      <c r="E35" s="65"/>
      <c r="F35" s="65"/>
      <c r="G35" s="65"/>
      <c r="H35" s="65"/>
      <c r="I35" s="65"/>
    </row>
    <row r="36" spans="1:9" ht="30">
      <c r="A36" s="23" t="s">
        <v>316</v>
      </c>
      <c r="B36" s="9"/>
      <c r="C36" s="9" t="s">
        <v>281</v>
      </c>
      <c r="D36" s="9" t="s">
        <v>311</v>
      </c>
      <c r="E36" s="65"/>
      <c r="F36" s="65"/>
      <c r="G36" s="65"/>
      <c r="H36" s="65"/>
      <c r="I36" s="65"/>
    </row>
    <row r="37" spans="1:9" ht="15" customHeight="1">
      <c r="A37" s="23" t="s">
        <v>317</v>
      </c>
      <c r="B37" s="9"/>
      <c r="C37" s="9" t="s">
        <v>281</v>
      </c>
      <c r="D37" s="9"/>
      <c r="E37" s="65"/>
      <c r="F37" s="65"/>
      <c r="G37" s="65"/>
      <c r="H37" s="65"/>
      <c r="I37" s="65"/>
    </row>
    <row r="38" spans="1:9" hidden="1">
      <c r="A38" s="66" t="s">
        <v>318</v>
      </c>
      <c r="B38" s="9"/>
      <c r="C38" s="9"/>
      <c r="D38" s="9"/>
      <c r="E38" s="65"/>
      <c r="F38" s="65"/>
      <c r="G38" s="65"/>
      <c r="H38" s="65"/>
      <c r="I38" s="65"/>
    </row>
    <row r="39" spans="1:9" ht="15.75" customHeight="1">
      <c r="A39" s="23" t="s">
        <v>319</v>
      </c>
      <c r="B39" s="9"/>
      <c r="C39" s="9" t="s">
        <v>281</v>
      </c>
      <c r="D39" s="9"/>
      <c r="E39" s="65"/>
      <c r="F39" s="65"/>
      <c r="G39" s="65"/>
      <c r="H39" s="65"/>
      <c r="I39" s="65"/>
    </row>
    <row r="40" spans="1:9" ht="15.75" hidden="1" customHeight="1">
      <c r="A40" s="64" t="s">
        <v>320</v>
      </c>
      <c r="B40" s="9"/>
      <c r="C40" s="9" t="s">
        <v>281</v>
      </c>
      <c r="D40" s="9"/>
      <c r="E40" s="65"/>
      <c r="F40" s="65"/>
      <c r="G40" s="65"/>
      <c r="H40" s="65"/>
      <c r="I40" s="17"/>
    </row>
    <row r="41" spans="1:9">
      <c r="A41" s="23" t="s">
        <v>321</v>
      </c>
      <c r="B41" s="9"/>
      <c r="C41" s="9" t="s">
        <v>281</v>
      </c>
      <c r="D41" s="9"/>
      <c r="E41" s="65"/>
      <c r="F41" s="65"/>
      <c r="G41" s="65"/>
      <c r="H41" s="65"/>
      <c r="I41" s="65"/>
    </row>
    <row r="42" spans="1:9">
      <c r="A42" s="23" t="s">
        <v>322</v>
      </c>
      <c r="B42" s="9"/>
      <c r="C42" s="9" t="s">
        <v>281</v>
      </c>
      <c r="D42" s="9"/>
      <c r="E42" s="65"/>
      <c r="F42" s="65"/>
      <c r="G42" s="65"/>
      <c r="H42" s="65"/>
      <c r="I42" s="17"/>
    </row>
    <row r="43" spans="1:9" ht="30">
      <c r="A43" s="51" t="s">
        <v>323</v>
      </c>
      <c r="B43" s="9"/>
      <c r="C43" s="9" t="s">
        <v>262</v>
      </c>
      <c r="D43" s="9"/>
      <c r="E43" s="65" t="s">
        <v>324</v>
      </c>
      <c r="F43" s="65"/>
      <c r="G43" s="65" t="s">
        <v>325</v>
      </c>
      <c r="H43" s="65"/>
      <c r="I43" s="65"/>
    </row>
    <row r="44" spans="1:9">
      <c r="A44" s="64"/>
      <c r="B44" s="9"/>
      <c r="C44" s="9"/>
      <c r="D44" s="9"/>
      <c r="E44" s="65"/>
      <c r="F44" s="65"/>
      <c r="G44" s="65"/>
      <c r="H44" s="65"/>
      <c r="I44" s="65"/>
    </row>
    <row r="45" spans="1:9">
      <c r="A45" s="64"/>
      <c r="B45" s="9"/>
      <c r="C45" s="9"/>
      <c r="D45" s="9"/>
      <c r="E45" s="65"/>
      <c r="F45" s="65"/>
      <c r="G45" s="65"/>
      <c r="H45" s="65"/>
      <c r="I45" s="65"/>
    </row>
    <row r="46" spans="1:9">
      <c r="A46" s="64"/>
      <c r="B46" s="9"/>
      <c r="C46" s="9"/>
      <c r="D46" s="9"/>
      <c r="E46" s="65"/>
      <c r="F46" s="65"/>
      <c r="G46" s="65"/>
      <c r="H46" s="65"/>
      <c r="I46" s="65"/>
    </row>
    <row r="47" spans="1:9">
      <c r="A47" s="64"/>
      <c r="B47" s="9"/>
      <c r="C47" s="9"/>
      <c r="D47" s="9"/>
      <c r="E47" s="65"/>
      <c r="F47" s="65"/>
      <c r="G47" s="65"/>
      <c r="H47" s="65"/>
      <c r="I47" s="65"/>
    </row>
    <row r="48" spans="1:9">
      <c r="A48" s="64"/>
      <c r="B48" s="9"/>
      <c r="C48" s="9"/>
      <c r="D48" s="9"/>
      <c r="E48" s="65"/>
      <c r="F48" s="65"/>
      <c r="G48" s="65"/>
      <c r="H48" s="65"/>
      <c r="I48" s="65"/>
    </row>
  </sheetData>
  <autoFilter ref="A2:I43" xr:uid="{2F0D2CFD-E2DD-4CE0-94D6-5AAFD74EAD1B}">
    <filterColumn colId="3">
      <customFilters>
        <customFilter operator="notEqual" val=" "/>
      </customFilters>
    </filterColumn>
    <sortState xmlns:xlrd2="http://schemas.microsoft.com/office/spreadsheetml/2017/richdata2" ref="A3:I43">
      <sortCondition ref="D2:D43"/>
    </sortState>
  </autoFilter>
  <mergeCells count="1">
    <mergeCell ref="B1:I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3686-F601-452D-83BA-CB99F0BB8958}">
  <sheetPr codeName="Sheet5"/>
  <dimension ref="A1:D26"/>
  <sheetViews>
    <sheetView workbookViewId="0">
      <pane xSplit="1" ySplit="1" topLeftCell="B2" activePane="bottomRight" state="frozen"/>
      <selection pane="topRight" activeCell="B1" sqref="B1"/>
      <selection pane="bottomLeft" activeCell="A2" sqref="A2"/>
      <selection pane="bottomRight" activeCell="A13" sqref="A13"/>
    </sheetView>
  </sheetViews>
  <sheetFormatPr defaultColWidth="8.85546875" defaultRowHeight="15"/>
  <cols>
    <col min="1" max="1" width="52" bestFit="1" customWidth="1"/>
    <col min="2" max="2" width="14" bestFit="1" customWidth="1"/>
    <col min="3" max="3" width="36.140625" bestFit="1" customWidth="1"/>
    <col min="4" max="4" width="75.85546875" bestFit="1" customWidth="1"/>
  </cols>
  <sheetData>
    <row r="1" spans="1:4">
      <c r="A1" s="1" t="s">
        <v>173</v>
      </c>
      <c r="B1" s="1" t="s">
        <v>174</v>
      </c>
      <c r="C1" s="1" t="s">
        <v>1</v>
      </c>
      <c r="D1" s="1" t="s">
        <v>3</v>
      </c>
    </row>
    <row r="2" spans="1:4">
      <c r="A2" s="3" t="s">
        <v>175</v>
      </c>
      <c r="B2" s="2" t="s">
        <v>176</v>
      </c>
      <c r="C2" s="2" t="s">
        <v>177</v>
      </c>
      <c r="D2" s="16" t="s">
        <v>178</v>
      </c>
    </row>
    <row r="3" spans="1:4">
      <c r="A3" s="3" t="s">
        <v>179</v>
      </c>
      <c r="B3" s="2" t="s">
        <v>180</v>
      </c>
      <c r="C3" s="2" t="s">
        <v>177</v>
      </c>
      <c r="D3" s="16" t="s">
        <v>181</v>
      </c>
    </row>
    <row r="4" spans="1:4">
      <c r="A4" s="3" t="s">
        <v>182</v>
      </c>
      <c r="B4" s="2" t="s">
        <v>183</v>
      </c>
      <c r="C4" s="2" t="s">
        <v>184</v>
      </c>
      <c r="D4" s="16" t="s">
        <v>185</v>
      </c>
    </row>
    <row r="5" spans="1:4">
      <c r="A5" s="3" t="s">
        <v>179</v>
      </c>
      <c r="B5" s="2" t="s">
        <v>180</v>
      </c>
      <c r="C5" s="2" t="s">
        <v>184</v>
      </c>
      <c r="D5" s="16" t="s">
        <v>181</v>
      </c>
    </row>
    <row r="6" spans="1:4">
      <c r="A6" s="3" t="s">
        <v>186</v>
      </c>
      <c r="B6" s="2" t="s">
        <v>176</v>
      </c>
      <c r="C6" s="2" t="s">
        <v>187</v>
      </c>
      <c r="D6" s="16" t="s">
        <v>188</v>
      </c>
    </row>
    <row r="7" spans="1:4">
      <c r="A7" s="3" t="s">
        <v>189</v>
      </c>
      <c r="B7" s="2" t="s">
        <v>176</v>
      </c>
      <c r="C7" s="2" t="s">
        <v>190</v>
      </c>
      <c r="D7" s="16" t="s">
        <v>191</v>
      </c>
    </row>
    <row r="8" spans="1:4">
      <c r="A8" s="3" t="s">
        <v>192</v>
      </c>
      <c r="B8" s="2" t="s">
        <v>193</v>
      </c>
      <c r="C8" s="2" t="s">
        <v>194</v>
      </c>
      <c r="D8" s="16" t="s">
        <v>195</v>
      </c>
    </row>
    <row r="9" spans="1:4">
      <c r="A9" s="3" t="s">
        <v>196</v>
      </c>
      <c r="B9" s="2" t="s">
        <v>176</v>
      </c>
      <c r="C9" s="2" t="s">
        <v>197</v>
      </c>
      <c r="D9" s="16" t="s">
        <v>198</v>
      </c>
    </row>
    <row r="10" spans="1:4">
      <c r="A10" s="3" t="s">
        <v>199</v>
      </c>
      <c r="B10" s="2" t="s">
        <v>200</v>
      </c>
      <c r="C10" s="2" t="s">
        <v>197</v>
      </c>
      <c r="D10" s="16" t="s">
        <v>201</v>
      </c>
    </row>
    <row r="11" spans="1:4">
      <c r="A11" s="3" t="s">
        <v>199</v>
      </c>
      <c r="B11" s="2" t="s">
        <v>200</v>
      </c>
      <c r="C11" s="2" t="s">
        <v>197</v>
      </c>
      <c r="D11" s="16" t="s">
        <v>201</v>
      </c>
    </row>
    <row r="12" spans="1:4">
      <c r="A12" s="3" t="s">
        <v>202</v>
      </c>
      <c r="B12" s="2" t="s">
        <v>203</v>
      </c>
      <c r="C12" s="2" t="s">
        <v>204</v>
      </c>
      <c r="D12" s="16" t="s">
        <v>205</v>
      </c>
    </row>
    <row r="13" spans="1:4">
      <c r="A13" s="3" t="s">
        <v>206</v>
      </c>
      <c r="B13" s="2" t="s">
        <v>207</v>
      </c>
      <c r="C13" s="2" t="s">
        <v>204</v>
      </c>
      <c r="D13" s="16" t="s">
        <v>208</v>
      </c>
    </row>
    <row r="14" spans="1:4">
      <c r="A14" s="3" t="s">
        <v>209</v>
      </c>
      <c r="B14" s="2" t="s">
        <v>210</v>
      </c>
      <c r="C14" s="2" t="s">
        <v>211</v>
      </c>
      <c r="D14" s="16" t="s">
        <v>212</v>
      </c>
    </row>
    <row r="15" spans="1:4">
      <c r="A15" s="3" t="s">
        <v>213</v>
      </c>
      <c r="B15" s="2" t="s">
        <v>207</v>
      </c>
      <c r="C15" s="2" t="s">
        <v>211</v>
      </c>
      <c r="D15" s="16" t="s">
        <v>213</v>
      </c>
    </row>
    <row r="16" spans="1:4">
      <c r="A16" s="3" t="s">
        <v>214</v>
      </c>
      <c r="B16" s="2" t="s">
        <v>210</v>
      </c>
      <c r="C16" s="2" t="s">
        <v>215</v>
      </c>
      <c r="D16" s="16" t="s">
        <v>216</v>
      </c>
    </row>
    <row r="17" spans="1:4">
      <c r="A17" s="3" t="s">
        <v>217</v>
      </c>
      <c r="B17" s="2" t="s">
        <v>176</v>
      </c>
      <c r="C17" s="2" t="s">
        <v>215</v>
      </c>
      <c r="D17" s="16" t="s">
        <v>218</v>
      </c>
    </row>
    <row r="18" spans="1:4">
      <c r="A18" s="3" t="s">
        <v>219</v>
      </c>
      <c r="B18" s="2" t="s">
        <v>220</v>
      </c>
      <c r="C18" s="2" t="s">
        <v>221</v>
      </c>
      <c r="D18" s="16" t="s">
        <v>222</v>
      </c>
    </row>
    <row r="19" spans="1:4">
      <c r="A19" s="3" t="s">
        <v>223</v>
      </c>
      <c r="B19" s="2" t="s">
        <v>176</v>
      </c>
      <c r="C19" s="2" t="s">
        <v>221</v>
      </c>
      <c r="D19" s="16" t="s">
        <v>224</v>
      </c>
    </row>
    <row r="20" spans="1:4">
      <c r="A20" s="3" t="s">
        <v>225</v>
      </c>
      <c r="B20" s="2" t="s">
        <v>176</v>
      </c>
      <c r="C20" s="2" t="s">
        <v>221</v>
      </c>
      <c r="D20" s="18" t="s">
        <v>226</v>
      </c>
    </row>
    <row r="21" spans="1:4">
      <c r="A21" s="3" t="s">
        <v>227</v>
      </c>
      <c r="B21" s="2" t="s">
        <v>228</v>
      </c>
      <c r="C21" s="2" t="s">
        <v>229</v>
      </c>
      <c r="D21" s="16" t="s">
        <v>230</v>
      </c>
    </row>
    <row r="22" spans="1:4">
      <c r="A22" s="3" t="s">
        <v>231</v>
      </c>
      <c r="B22" s="2" t="s">
        <v>232</v>
      </c>
      <c r="C22" s="2" t="s">
        <v>229</v>
      </c>
      <c r="D22" s="18" t="s">
        <v>233</v>
      </c>
    </row>
    <row r="23" spans="1:4">
      <c r="A23" s="3" t="s">
        <v>234</v>
      </c>
      <c r="B23" s="2" t="s">
        <v>183</v>
      </c>
      <c r="C23" s="2" t="s">
        <v>229</v>
      </c>
      <c r="D23" s="5" t="s">
        <v>235</v>
      </c>
    </row>
    <row r="24" spans="1:4">
      <c r="A24" s="3" t="s">
        <v>236</v>
      </c>
      <c r="B24" s="2" t="s">
        <v>220</v>
      </c>
      <c r="C24" s="2" t="s">
        <v>237</v>
      </c>
      <c r="D24" s="5" t="s">
        <v>238</v>
      </c>
    </row>
    <row r="25" spans="1:4">
      <c r="A25" s="3" t="s">
        <v>239</v>
      </c>
      <c r="B25" s="2" t="s">
        <v>240</v>
      </c>
      <c r="C25" s="2" t="s">
        <v>194</v>
      </c>
      <c r="D25" s="16" t="s">
        <v>241</v>
      </c>
    </row>
    <row r="26" spans="1:4">
      <c r="A26" s="3" t="s">
        <v>242</v>
      </c>
      <c r="B26" s="2" t="s">
        <v>243</v>
      </c>
      <c r="C26" s="2" t="s">
        <v>244</v>
      </c>
      <c r="D26" s="16" t="s">
        <v>242</v>
      </c>
    </row>
  </sheetData>
  <autoFilter ref="A1:D26" xr:uid="{E7D1AC2A-EA35-44B7-AA9C-0B195C63AB20}">
    <sortState xmlns:xlrd2="http://schemas.microsoft.com/office/spreadsheetml/2017/richdata2" ref="A2:D22">
      <sortCondition ref="C1:C9"/>
    </sortState>
  </autoFilter>
  <hyperlinks>
    <hyperlink ref="D4" r:id="rId1" display="../../../:w:/g/Eb_d-saaoFBe9cshWBQ_JlwBBITCeXh4PWv_vDF4m2u7Dg?e=BT8XVV" xr:uid="{195DD987-28B3-417D-9FA3-3C35F2799912}"/>
    <hyperlink ref="D5" r:id="rId2" display="../../../:w:/g/EfsI9gHipvVQRA9V5G-UiY8B9Ds7iQHQzaH754ULuxZkvA?e=FOZgc7" xr:uid="{CC421765-E0F3-4B88-BDB4-341C449E3FD5}"/>
    <hyperlink ref="D3" r:id="rId3" display="../../../:w:/g/EfsI9gHipvVQRA9V5G-UiY8B9Ds7iQHQzaH754ULuxZkvA?e=FOZgc7" xr:uid="{C2836DCD-4F7A-49A0-A45D-F8D0658F0ECF}"/>
    <hyperlink ref="D2" r:id="rId4" display="../../../:w:/g/EfLJgraMjO5Xd6Xj9g-zWj0B7cEl6lzGBMuOxky1qiD0qg?e=5Svjo8" xr:uid="{039CE8AE-5303-46FA-AEFC-939BA6A3D63F}"/>
    <hyperlink ref="D17" r:id="rId5" display="../../../:w:/g/EYASm8SC6ehZ_MVz5bendb4BeAhK5FLmtZjIVqlxqorEDg?e=9P3URk" xr:uid="{B064DB66-239D-41AE-9A58-73708A3126A9}"/>
    <hyperlink ref="D16" r:id="rId6" display="../../../:w:/g/ESmxvpd72vNLs4A0YlgUG3sBWlXEIIDnRfWUuWwIqUqVNA?e=Dy9ojZ" xr:uid="{0201D724-CD3A-4B42-98FB-20D6B537D248}"/>
    <hyperlink ref="D6" r:id="rId7" display="../../../:w:/g/Ead8qXXvdg9JjrU_3Qfb3P8B9m3Iqwzp5KTwHstXR9Zkfw?e=7iWsMk" xr:uid="{B6C30961-43E4-4D7C-A21F-3392A505C3A3}"/>
    <hyperlink ref="D21" r:id="rId8" display="../../../:w:/g/EXz_N2SyKM9DsxPCxK9ZvXMBoVnELXGPN3bANnWIgsJnFQ?e=dhxFOw" xr:uid="{13E0B00D-16B3-4518-BCF2-A9896EB25C90}"/>
    <hyperlink ref="D18" r:id="rId9" display="../../../:w:/g/EWWSj2VeTlJKnrYvJx9Moa8BQvsZtCZBO0K6zUZvNl9K6w?e=umQleO" xr:uid="{51C82791-9D85-4639-B5C3-5F900B1024A4}"/>
    <hyperlink ref="D14" r:id="rId10" display="../../../:w:/g/EceJgYbbckBFt0ytAGOtxcMBapo79YIMrnKP6Wl_3yZOHw?e=zDCf0a" xr:uid="{91BB2CA7-DB2E-4F79-B02B-31062E748820}"/>
    <hyperlink ref="D15" r:id="rId11" xr:uid="{31022D90-8144-41BA-8237-9699FADC4E0D}"/>
    <hyperlink ref="D9" r:id="rId12" display="../../../:w:/g/EfMEgaQKqdlAstOg_GQnDBEBe0ISWllvPW9iG2PyKLQJzg?e=UXWsox" xr:uid="{DBC78F72-96AC-4084-B1A4-EA5E3D6C6D3B}"/>
    <hyperlink ref="D10" r:id="rId13" display="../../../:w:/g/EVLK-FzT5b5DquSF2TEK7DUBx-uY0Dn_3V8G0g_YtLSRcw?e=lzBgbp" xr:uid="{33BE492C-4CC2-4744-9216-AFA696D09713}"/>
    <hyperlink ref="D19" r:id="rId14" display="../../../:w:/g/ESHVwnrBtwRcDk_0A3xCgrcBGabdo8S10MC0uM1yMThjbg?e=Ew8QCA" xr:uid="{E83F26FA-F8D2-49CB-83C6-1772452A1CA4}"/>
    <hyperlink ref="D20" r:id="rId15" display="../../../:w:/g/EWYdncOuhRtFqLiXyF4GZWsBq0jogQoygsD7j3IpcG_WIQ?e=Fk56pq" xr:uid="{86A3E5CA-2152-4BC4-964D-E52C542019B4}"/>
    <hyperlink ref="D22" r:id="rId16" display="../../../:w:/g/ETcDKnHhszdEs3pTVgpHUScB5iHWtm1YcfWtbT8OBCUplg?e=LwRfVw" xr:uid="{F06662FE-F09B-40DE-800D-3845DA86AE69}"/>
    <hyperlink ref="D11" r:id="rId17" display="../../../:w:/g/EVLK-FzT5b5DquSF2TEK7DUBx-uY0Dn_3V8G0g_YtLSRcw?e=lzBgbp" xr:uid="{6092745F-E9A6-488E-85C0-CE428BA6327C}"/>
    <hyperlink ref="D23" r:id="rId18" xr:uid="{978968F0-1EEC-4987-B969-425C569FA0D9}"/>
    <hyperlink ref="D24" r:id="rId19" xr:uid="{74033714-3D63-4E94-AB68-198ACDC5AFB5}"/>
    <hyperlink ref="D8" r:id="rId20" xr:uid="{9806434F-2D0B-4555-8806-A280F306ED61}"/>
    <hyperlink ref="D25" r:id="rId21" xr:uid="{2C3CF663-2A43-4E61-9F14-0D97CAA40289}"/>
    <hyperlink ref="D26" r:id="rId22" xr:uid="{7C4BEAA6-25DA-4275-B1D5-29DC76697AE6}"/>
    <hyperlink ref="D13" r:id="rId23" xr:uid="{E00F75BE-02E9-4656-BF0B-55EC4DF2B721}"/>
    <hyperlink ref="D12" r:id="rId24" xr:uid="{F870D19B-0403-456A-A355-0E35BFB2A6D0}"/>
    <hyperlink ref="D7" r:id="rId25" xr:uid="{0B5C54A4-5105-4890-94B9-F9FB8FAE68F1}"/>
  </hyperlinks>
  <pageMargins left="0.7" right="0.7" top="0.75" bottom="0.75" header="0.3" footer="0.3"/>
  <pageSetup orientation="portrait" r:id="rId26"/>
  <legacyDrawing r:id="rId2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89BA-4BC7-4D65-96BF-B49B67D66817}">
  <sheetPr codeName="Sheet2"/>
  <dimension ref="A1:D24"/>
  <sheetViews>
    <sheetView zoomScale="130" zoomScaleNormal="130" workbookViewId="0">
      <pane xSplit="1" ySplit="1" topLeftCell="B5" activePane="bottomRight" state="frozen"/>
      <selection pane="topRight" activeCell="B1" sqref="B1"/>
      <selection pane="bottomLeft" activeCell="A2" sqref="A2"/>
      <selection pane="bottomRight" activeCell="A13" sqref="A13"/>
    </sheetView>
  </sheetViews>
  <sheetFormatPr defaultColWidth="8.85546875" defaultRowHeight="15"/>
  <cols>
    <col min="1" max="1" width="38" bestFit="1" customWidth="1"/>
    <col min="2" max="2" width="22.85546875" customWidth="1"/>
    <col min="3" max="3" width="32.140625" customWidth="1"/>
    <col min="4" max="4" width="83.42578125" style="6" customWidth="1"/>
  </cols>
  <sheetData>
    <row r="1" spans="1:4">
      <c r="A1" s="1" t="s">
        <v>0</v>
      </c>
      <c r="B1" s="1" t="s">
        <v>1</v>
      </c>
      <c r="C1" s="1" t="s">
        <v>2</v>
      </c>
      <c r="D1" s="13" t="s">
        <v>3</v>
      </c>
    </row>
    <row r="2" spans="1:4">
      <c r="A2" s="3" t="s">
        <v>4</v>
      </c>
      <c r="B2" s="2" t="s">
        <v>5</v>
      </c>
      <c r="C2" s="2" t="s">
        <v>6</v>
      </c>
      <c r="D2" s="5" t="s">
        <v>7</v>
      </c>
    </row>
    <row r="3" spans="1:4">
      <c r="A3" s="3" t="s">
        <v>8</v>
      </c>
      <c r="B3" s="2" t="s">
        <v>5</v>
      </c>
      <c r="C3" s="2" t="s">
        <v>9</v>
      </c>
      <c r="D3" s="5" t="s">
        <v>10</v>
      </c>
    </row>
    <row r="4" spans="1:4">
      <c r="A4" s="3" t="s">
        <v>11</v>
      </c>
      <c r="B4" s="2" t="s">
        <v>5</v>
      </c>
      <c r="C4" s="2" t="s">
        <v>12</v>
      </c>
      <c r="D4" s="5" t="s">
        <v>13</v>
      </c>
    </row>
    <row r="5" spans="1:4">
      <c r="A5" s="3" t="s">
        <v>14</v>
      </c>
      <c r="B5" s="2" t="s">
        <v>5</v>
      </c>
      <c r="C5" s="2" t="s">
        <v>15</v>
      </c>
      <c r="D5" s="5" t="s">
        <v>16</v>
      </c>
    </row>
    <row r="6" spans="1:4">
      <c r="A6" s="3" t="s">
        <v>17</v>
      </c>
      <c r="B6" s="2" t="s">
        <v>5</v>
      </c>
      <c r="C6" s="2" t="s">
        <v>18</v>
      </c>
      <c r="D6" s="5" t="s">
        <v>19</v>
      </c>
    </row>
    <row r="7" spans="1:4">
      <c r="A7" s="3" t="s">
        <v>20</v>
      </c>
      <c r="B7" s="2" t="s">
        <v>5</v>
      </c>
      <c r="C7" s="2" t="s">
        <v>21</v>
      </c>
      <c r="D7" s="5" t="s">
        <v>22</v>
      </c>
    </row>
    <row r="8" spans="1:4">
      <c r="A8" s="3" t="s">
        <v>23</v>
      </c>
      <c r="B8" s="2" t="s">
        <v>5</v>
      </c>
      <c r="C8" s="2" t="s">
        <v>24</v>
      </c>
      <c r="D8" s="5" t="s">
        <v>25</v>
      </c>
    </row>
    <row r="9" spans="1:4">
      <c r="A9" s="3" t="s">
        <v>26</v>
      </c>
      <c r="B9" s="2" t="s">
        <v>5</v>
      </c>
      <c r="C9" s="2" t="s">
        <v>27</v>
      </c>
      <c r="D9" s="5" t="s">
        <v>28</v>
      </c>
    </row>
    <row r="10" spans="1:4">
      <c r="A10" s="3" t="s">
        <v>29</v>
      </c>
      <c r="B10" s="2" t="s">
        <v>5</v>
      </c>
      <c r="C10" s="2" t="s">
        <v>30</v>
      </c>
      <c r="D10" s="73" t="s">
        <v>31</v>
      </c>
    </row>
    <row r="11" spans="1:4">
      <c r="A11" s="3" t="s">
        <v>32</v>
      </c>
      <c r="B11" s="2" t="s">
        <v>33</v>
      </c>
      <c r="C11" s="2" t="s">
        <v>34</v>
      </c>
      <c r="D11" s="4" t="s">
        <v>35</v>
      </c>
    </row>
    <row r="12" spans="1:4">
      <c r="A12" s="3" t="s">
        <v>36</v>
      </c>
      <c r="B12" s="2" t="s">
        <v>33</v>
      </c>
      <c r="C12" s="2" t="s">
        <v>37</v>
      </c>
      <c r="D12" s="7" t="s">
        <v>38</v>
      </c>
    </row>
    <row r="13" spans="1:4">
      <c r="A13" s="3" t="s">
        <v>39</v>
      </c>
      <c r="B13" s="2" t="s">
        <v>40</v>
      </c>
      <c r="C13" s="2" t="s">
        <v>41</v>
      </c>
      <c r="D13" s="5" t="s">
        <v>42</v>
      </c>
    </row>
    <row r="14" spans="1:4">
      <c r="A14" s="3" t="s">
        <v>43</v>
      </c>
      <c r="B14" s="2" t="s">
        <v>40</v>
      </c>
      <c r="C14" s="2" t="s">
        <v>41</v>
      </c>
      <c r="D14" s="25"/>
    </row>
    <row r="15" spans="1:4">
      <c r="A15" s="3" t="s">
        <v>44</v>
      </c>
      <c r="B15" s="2" t="s">
        <v>45</v>
      </c>
      <c r="C15" s="2" t="s">
        <v>46</v>
      </c>
      <c r="D15" s="5" t="s">
        <v>47</v>
      </c>
    </row>
    <row r="16" spans="1:4">
      <c r="A16" s="3" t="s">
        <v>48</v>
      </c>
      <c r="B16" s="2" t="s">
        <v>45</v>
      </c>
      <c r="C16" s="2" t="s">
        <v>49</v>
      </c>
      <c r="D16" s="7" t="s">
        <v>50</v>
      </c>
    </row>
    <row r="17" spans="1:4">
      <c r="A17" s="3" t="s">
        <v>51</v>
      </c>
      <c r="B17" s="2" t="s">
        <v>45</v>
      </c>
      <c r="C17" s="2" t="s">
        <v>49</v>
      </c>
      <c r="D17" s="7" t="s">
        <v>52</v>
      </c>
    </row>
    <row r="18" spans="1:4">
      <c r="A18" s="3" t="s">
        <v>53</v>
      </c>
      <c r="B18" s="2" t="s">
        <v>45</v>
      </c>
      <c r="C18" s="2" t="s">
        <v>54</v>
      </c>
      <c r="D18" s="74" t="s">
        <v>55</v>
      </c>
    </row>
    <row r="19" spans="1:4">
      <c r="A19" s="3" t="s">
        <v>56</v>
      </c>
      <c r="B19" s="2" t="s">
        <v>57</v>
      </c>
      <c r="C19" s="2" t="s">
        <v>58</v>
      </c>
      <c r="D19" s="5" t="s">
        <v>59</v>
      </c>
    </row>
    <row r="20" spans="1:4">
      <c r="A20" s="3" t="s">
        <v>60</v>
      </c>
      <c r="B20" s="2" t="s">
        <v>57</v>
      </c>
      <c r="C20" s="2" t="s">
        <v>61</v>
      </c>
      <c r="D20" s="5" t="s">
        <v>62</v>
      </c>
    </row>
    <row r="21" spans="1:4">
      <c r="A21" s="3" t="s">
        <v>63</v>
      </c>
      <c r="B21" s="2" t="s">
        <v>5</v>
      </c>
      <c r="C21" s="2" t="s">
        <v>64</v>
      </c>
      <c r="D21" s="75" t="s">
        <v>65</v>
      </c>
    </row>
    <row r="22" spans="1:4">
      <c r="A22" s="3" t="s">
        <v>66</v>
      </c>
      <c r="B22" s="2" t="s">
        <v>57</v>
      </c>
      <c r="C22" s="2" t="s">
        <v>58</v>
      </c>
      <c r="D22" s="5" t="s">
        <v>67</v>
      </c>
    </row>
    <row r="23" spans="1:4">
      <c r="A23" s="3" t="s">
        <v>68</v>
      </c>
      <c r="B23" s="2" t="s">
        <v>69</v>
      </c>
      <c r="C23" s="2" t="s">
        <v>70</v>
      </c>
      <c r="D23" s="14" t="s">
        <v>71</v>
      </c>
    </row>
    <row r="24" spans="1:4">
      <c r="A24" s="3" t="s">
        <v>72</v>
      </c>
      <c r="B24" s="2" t="s">
        <v>69</v>
      </c>
      <c r="C24" s="2" t="s">
        <v>73</v>
      </c>
      <c r="D24" s="5" t="s">
        <v>74</v>
      </c>
    </row>
  </sheetData>
  <autoFilter ref="A1:D24" xr:uid="{49CFE16C-8600-4A24-9C8E-FD8F7ECE12DB}">
    <sortState xmlns:xlrd2="http://schemas.microsoft.com/office/spreadsheetml/2017/richdata2" ref="A2:D24">
      <sortCondition ref="B1:B21"/>
    </sortState>
  </autoFilter>
  <hyperlinks>
    <hyperlink ref="D24" r:id="rId1" display="../Supporter Benefit Levels/Supporter Benefit Levels.docx" xr:uid="{6CFFCD5E-BE0D-4096-9041-6B8A74BA51FF}"/>
    <hyperlink ref="D20" r:id="rId2" display="../Attachments" xr:uid="{CA925DF4-1693-4C83-B015-10BB385E0308}"/>
    <hyperlink ref="D15" r:id="rId3" display="../../PR and Marketing/Assets/Marketing Assets Library.xlsx" xr:uid="{9693F99E-319D-495A-8ADD-09E723E78AF6}"/>
    <hyperlink ref="D2" r:id="rId4" display="../../PR and Marketing/Returned Community Evals/RCE Database.xlsx" xr:uid="{3759E0D8-C7AC-47BE-A978-474D4AF2D8B9}"/>
    <hyperlink ref="D3" r:id="rId5" xr:uid="{4FDA5F6E-69D3-4613-B62F-C63254E2E0AE}"/>
    <hyperlink ref="D13" r:id="rId6" xr:uid="{69493892-E919-491D-BF33-A81057EF6CA9}"/>
    <hyperlink ref="D9" r:id="rId7" xr:uid="{01BA0B2B-D9D3-40A4-B4DF-1A1FDD6EA2B4}"/>
    <hyperlink ref="D17" r:id="rId8" xr:uid="{3EA47DAF-91DC-44DE-8DED-FA5B19C5E7AC}"/>
    <hyperlink ref="D16" r:id="rId9" xr:uid="{E88D8606-1C9F-4335-9BEE-CCD78D4AAB04}"/>
    <hyperlink ref="D11" r:id="rId10" display="W:\Field House Volunteer Program" xr:uid="{408EAA01-0D33-4B72-8876-6099E6B9CD26}"/>
    <hyperlink ref="D12" r:id="rId11" xr:uid="{44A29F98-D51F-4D01-BF70-D564FA875A36}"/>
    <hyperlink ref="D22" r:id="rId12" xr:uid="{89F7D984-F745-467C-847C-E85F29C92F21}"/>
    <hyperlink ref="D21" r:id="rId13" xr:uid="{F9254F0B-DC81-42EE-AAC9-793213692E1D}"/>
    <hyperlink ref="D8" r:id="rId14" xr:uid="{085BDCC2-B696-465C-8A24-23B552C69932}"/>
    <hyperlink ref="D10" r:id="rId15" xr:uid="{558AF7BC-127E-4194-BD67-35EF71A9BA4B}"/>
    <hyperlink ref="D7" r:id="rId16" xr:uid="{38FDA96B-6F4B-444C-A947-31162177CB4C}"/>
    <hyperlink ref="D19" r:id="rId17" xr:uid="{8A2246F1-C71F-4610-A1B4-BD54749C72B6}"/>
    <hyperlink ref="D4" r:id="rId18" xr:uid="{C8FB2003-FCF5-4F5F-AFC7-044CFC5C6139}"/>
    <hyperlink ref="D5" r:id="rId19" xr:uid="{1757217E-7901-46A3-B172-AF3A2F030B50}"/>
    <hyperlink ref="D18" r:id="rId20" xr:uid="{22F3F917-1A0C-40B2-8E63-F57E32E6D021}"/>
  </hyperlinks>
  <pageMargins left="0.7" right="0.7" top="0.75" bottom="0.75" header="0.3" footer="0.3"/>
  <pageSetup orientation="portrait" verticalDpi="300" r:id="rId2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4EC3-1799-4CCE-9714-6900671D80FE}">
  <sheetPr codeName="Sheet1" filterMode="1"/>
  <dimension ref="A1:P64"/>
  <sheetViews>
    <sheetView zoomScale="120" zoomScaleNormal="120" zoomScaleSheetLayoutView="50" workbookViewId="0">
      <pane xSplit="1" ySplit="2" topLeftCell="K10" activePane="bottomRight" state="frozen"/>
      <selection pane="topRight" activeCell="B1" sqref="B1"/>
      <selection pane="bottomLeft" activeCell="A2" sqref="A2"/>
      <selection pane="bottomRight" activeCell="L17" sqref="L17"/>
    </sheetView>
  </sheetViews>
  <sheetFormatPr defaultColWidth="8.85546875" defaultRowHeight="15"/>
  <cols>
    <col min="1" max="1" width="28.140625" style="11" customWidth="1"/>
    <col min="2" max="2" width="14.42578125" customWidth="1"/>
    <col min="3" max="3" width="16" customWidth="1"/>
    <col min="4" max="4" width="31.85546875" customWidth="1"/>
    <col min="5" max="5" width="14.140625" customWidth="1"/>
    <col min="6" max="6" width="16.42578125" style="22" customWidth="1"/>
    <col min="7" max="7" width="59.140625" style="11" customWidth="1"/>
    <col min="8" max="8" width="20.140625" style="11" customWidth="1"/>
    <col min="9" max="9" width="11.85546875" style="11" bestFit="1" customWidth="1"/>
    <col min="10" max="10" width="13" style="11" bestFit="1" customWidth="1"/>
    <col min="11" max="11" width="18.85546875" style="11" customWidth="1"/>
    <col min="12" max="12" width="19.85546875" style="11" customWidth="1"/>
    <col min="13" max="13" width="33.42578125" style="11" customWidth="1"/>
    <col min="14" max="14" width="20.85546875" style="11" customWidth="1"/>
    <col min="15" max="15" width="27.42578125" style="78" customWidth="1"/>
    <col min="16" max="16" width="54.140625" style="11" customWidth="1"/>
  </cols>
  <sheetData>
    <row r="1" spans="1:16">
      <c r="A1" s="63"/>
      <c r="B1" s="110" t="s">
        <v>330</v>
      </c>
      <c r="C1" s="110"/>
      <c r="D1" s="110"/>
      <c r="E1" s="110"/>
      <c r="F1" s="110"/>
      <c r="G1" s="110"/>
      <c r="H1" s="111" t="s">
        <v>251</v>
      </c>
      <c r="I1" s="111"/>
      <c r="J1" s="111"/>
      <c r="K1" s="111"/>
      <c r="L1" s="111"/>
      <c r="M1" s="111"/>
      <c r="N1" s="111"/>
      <c r="O1" s="111"/>
      <c r="P1" s="111"/>
    </row>
    <row r="2" spans="1:16">
      <c r="A2" s="19" t="s">
        <v>252</v>
      </c>
      <c r="B2" s="1" t="s">
        <v>174</v>
      </c>
      <c r="C2" s="1" t="s">
        <v>331</v>
      </c>
      <c r="D2" s="1" t="s">
        <v>332</v>
      </c>
      <c r="E2" s="1" t="s">
        <v>333</v>
      </c>
      <c r="F2" s="20" t="s">
        <v>334</v>
      </c>
      <c r="G2" s="19" t="s">
        <v>335</v>
      </c>
      <c r="H2" s="59" t="s">
        <v>253</v>
      </c>
      <c r="I2" s="59" t="s">
        <v>254</v>
      </c>
      <c r="J2" s="59" t="s">
        <v>336</v>
      </c>
      <c r="K2" s="59" t="s">
        <v>256</v>
      </c>
      <c r="L2" s="59" t="s">
        <v>257</v>
      </c>
      <c r="M2" s="59" t="s">
        <v>258</v>
      </c>
      <c r="N2" s="59" t="s">
        <v>259</v>
      </c>
      <c r="O2" s="59" t="s">
        <v>337</v>
      </c>
      <c r="P2" s="19" t="s">
        <v>338</v>
      </c>
    </row>
    <row r="3" spans="1:16" ht="45" hidden="1">
      <c r="A3" s="51" t="s">
        <v>246</v>
      </c>
      <c r="B3" s="2" t="s">
        <v>176</v>
      </c>
      <c r="C3" s="2" t="s">
        <v>339</v>
      </c>
      <c r="D3" s="2" t="s">
        <v>340</v>
      </c>
      <c r="E3" s="2">
        <v>2020</v>
      </c>
      <c r="F3" s="21">
        <v>50000</v>
      </c>
      <c r="G3" s="9" t="s">
        <v>341</v>
      </c>
      <c r="H3" s="9"/>
      <c r="I3" s="9" t="s">
        <v>281</v>
      </c>
      <c r="J3" s="9" t="s">
        <v>342</v>
      </c>
      <c r="K3" s="65"/>
      <c r="L3" s="65"/>
      <c r="M3" s="65"/>
      <c r="N3" s="65"/>
      <c r="O3" s="65"/>
      <c r="P3" s="65"/>
    </row>
    <row r="4" spans="1:16" hidden="1">
      <c r="A4" s="66" t="s">
        <v>247</v>
      </c>
      <c r="B4" s="2"/>
      <c r="C4" s="2"/>
      <c r="D4" s="2"/>
      <c r="E4" s="2"/>
      <c r="F4" s="21"/>
      <c r="G4" s="9"/>
      <c r="H4" s="9"/>
      <c r="I4" s="9" t="s">
        <v>281</v>
      </c>
      <c r="J4" s="9" t="s">
        <v>343</v>
      </c>
      <c r="K4" s="65"/>
      <c r="L4" s="65"/>
      <c r="M4" s="65"/>
      <c r="N4" s="65"/>
      <c r="O4" s="65"/>
      <c r="P4" s="65"/>
    </row>
    <row r="5" spans="1:16" ht="30" hidden="1">
      <c r="A5" s="51" t="s">
        <v>323</v>
      </c>
      <c r="B5" s="2" t="s">
        <v>245</v>
      </c>
      <c r="C5" s="2" t="s">
        <v>237</v>
      </c>
      <c r="D5" s="2" t="s">
        <v>344</v>
      </c>
      <c r="E5" s="2">
        <v>2018</v>
      </c>
      <c r="F5" s="21">
        <v>50000</v>
      </c>
      <c r="G5" s="9" t="s">
        <v>345</v>
      </c>
      <c r="H5" s="9"/>
      <c r="I5" s="9" t="s">
        <v>262</v>
      </c>
      <c r="J5" s="9" t="s">
        <v>342</v>
      </c>
      <c r="K5" s="65" t="s">
        <v>324</v>
      </c>
      <c r="L5" s="65"/>
      <c r="M5" s="65" t="s">
        <v>325</v>
      </c>
      <c r="N5" s="65"/>
      <c r="O5" s="65"/>
      <c r="P5" s="65"/>
    </row>
    <row r="6" spans="1:16" ht="60" hidden="1">
      <c r="A6" s="51" t="s">
        <v>346</v>
      </c>
      <c r="B6" s="2" t="s">
        <v>347</v>
      </c>
      <c r="C6" s="2" t="s">
        <v>339</v>
      </c>
      <c r="D6" s="2" t="s">
        <v>348</v>
      </c>
      <c r="E6" s="2">
        <v>2019</v>
      </c>
      <c r="F6" s="21">
        <v>35000</v>
      </c>
      <c r="G6" s="9" t="s">
        <v>349</v>
      </c>
      <c r="H6" s="9" t="s">
        <v>350</v>
      </c>
      <c r="I6" s="9" t="s">
        <v>267</v>
      </c>
      <c r="J6" s="9" t="s">
        <v>342</v>
      </c>
      <c r="K6" s="65"/>
      <c r="L6" s="65"/>
      <c r="M6" s="65"/>
      <c r="N6" s="65"/>
      <c r="O6" s="65"/>
      <c r="P6" s="65" t="s">
        <v>351</v>
      </c>
    </row>
    <row r="7" spans="1:16" ht="30" hidden="1">
      <c r="A7" s="51" t="s">
        <v>352</v>
      </c>
      <c r="B7" s="2" t="s">
        <v>176</v>
      </c>
      <c r="C7" s="2" t="s">
        <v>237</v>
      </c>
      <c r="D7" s="2" t="s">
        <v>344</v>
      </c>
      <c r="E7" s="2">
        <v>2019</v>
      </c>
      <c r="F7" s="21">
        <v>1000000</v>
      </c>
      <c r="G7" s="9" t="s">
        <v>353</v>
      </c>
      <c r="H7" s="9" t="s">
        <v>350</v>
      </c>
      <c r="I7" s="9"/>
      <c r="J7" s="9" t="s">
        <v>354</v>
      </c>
      <c r="K7" s="65"/>
      <c r="L7" s="65"/>
      <c r="M7" s="65"/>
      <c r="N7" s="65"/>
      <c r="O7" s="65"/>
      <c r="P7" s="65"/>
    </row>
    <row r="8" spans="1:16" ht="30" hidden="1">
      <c r="A8" s="51" t="s">
        <v>355</v>
      </c>
      <c r="B8" s="2" t="s">
        <v>183</v>
      </c>
      <c r="C8" s="2" t="s">
        <v>339</v>
      </c>
      <c r="D8" s="2" t="s">
        <v>348</v>
      </c>
      <c r="E8" s="2">
        <v>2019</v>
      </c>
      <c r="F8" s="21">
        <v>35000</v>
      </c>
      <c r="G8" s="9" t="s">
        <v>356</v>
      </c>
      <c r="H8" s="9" t="s">
        <v>350</v>
      </c>
      <c r="I8" s="9" t="s">
        <v>281</v>
      </c>
      <c r="J8" s="9" t="s">
        <v>73</v>
      </c>
      <c r="K8" s="65"/>
      <c r="L8" s="65"/>
      <c r="M8" s="65"/>
      <c r="N8" s="65"/>
      <c r="O8" s="65"/>
      <c r="P8" s="65"/>
    </row>
    <row r="9" spans="1:16" ht="30" hidden="1">
      <c r="A9" s="64" t="s">
        <v>357</v>
      </c>
      <c r="B9" s="2" t="s">
        <v>358</v>
      </c>
      <c r="C9" s="2" t="s">
        <v>359</v>
      </c>
      <c r="D9" s="2" t="s">
        <v>344</v>
      </c>
      <c r="E9" s="2">
        <v>2019</v>
      </c>
      <c r="F9" s="21">
        <v>350000</v>
      </c>
      <c r="G9" s="9" t="s">
        <v>360</v>
      </c>
      <c r="H9" s="9" t="s">
        <v>361</v>
      </c>
      <c r="I9" s="9" t="s">
        <v>73</v>
      </c>
      <c r="J9" s="9" t="s">
        <v>73</v>
      </c>
      <c r="K9" s="65"/>
      <c r="L9" s="65"/>
      <c r="M9" s="65"/>
      <c r="N9" s="65"/>
      <c r="O9" s="65"/>
      <c r="P9" s="65" t="s">
        <v>73</v>
      </c>
    </row>
    <row r="10" spans="1:16" ht="45">
      <c r="A10" s="23" t="s">
        <v>264</v>
      </c>
      <c r="B10" s="2" t="s">
        <v>210</v>
      </c>
      <c r="C10" s="2" t="s">
        <v>285</v>
      </c>
      <c r="D10" s="2" t="s">
        <v>362</v>
      </c>
      <c r="E10" s="2">
        <v>2012</v>
      </c>
      <c r="F10" s="21">
        <v>75000</v>
      </c>
      <c r="G10" s="9" t="s">
        <v>363</v>
      </c>
      <c r="H10" s="9"/>
      <c r="I10" s="9" t="s">
        <v>262</v>
      </c>
      <c r="J10" s="9" t="s">
        <v>265</v>
      </c>
      <c r="K10" s="65"/>
      <c r="L10" s="65" t="s">
        <v>364</v>
      </c>
      <c r="M10" s="65" t="s">
        <v>365</v>
      </c>
      <c r="N10" s="65" t="s">
        <v>366</v>
      </c>
      <c r="O10" s="65"/>
      <c r="P10" s="65" t="s">
        <v>367</v>
      </c>
    </row>
    <row r="11" spans="1:16" ht="30.75" hidden="1" customHeight="1">
      <c r="A11" s="23" t="s">
        <v>266</v>
      </c>
      <c r="B11" s="2" t="s">
        <v>210</v>
      </c>
      <c r="C11" s="2" t="s">
        <v>368</v>
      </c>
      <c r="D11" s="2" t="s">
        <v>362</v>
      </c>
      <c r="E11" s="2">
        <v>2017</v>
      </c>
      <c r="F11" s="21">
        <v>75000</v>
      </c>
      <c r="G11" s="9" t="s">
        <v>369</v>
      </c>
      <c r="H11" s="9" t="s">
        <v>267</v>
      </c>
      <c r="I11" s="9" t="s">
        <v>262</v>
      </c>
      <c r="J11" s="9" t="s">
        <v>265</v>
      </c>
      <c r="K11" s="65"/>
      <c r="L11" s="65" t="s">
        <v>268</v>
      </c>
      <c r="M11" s="65" t="s">
        <v>269</v>
      </c>
      <c r="N11" s="65" t="s">
        <v>270</v>
      </c>
      <c r="O11" s="65"/>
      <c r="P11" s="65" t="s">
        <v>271</v>
      </c>
    </row>
    <row r="12" spans="1:16">
      <c r="A12" s="64" t="s">
        <v>370</v>
      </c>
      <c r="B12" s="2" t="s">
        <v>183</v>
      </c>
      <c r="C12" s="2" t="s">
        <v>285</v>
      </c>
      <c r="D12" s="2" t="s">
        <v>344</v>
      </c>
      <c r="E12" s="2">
        <v>2020</v>
      </c>
      <c r="F12" s="21">
        <v>13000</v>
      </c>
      <c r="G12" s="9" t="s">
        <v>371</v>
      </c>
      <c r="H12" s="9"/>
      <c r="I12" s="9" t="s">
        <v>262</v>
      </c>
      <c r="J12" s="9" t="s">
        <v>265</v>
      </c>
      <c r="K12" s="65"/>
      <c r="L12" s="65"/>
      <c r="M12" s="65"/>
      <c r="N12" s="65"/>
      <c r="O12" s="65"/>
      <c r="P12" s="65" t="s">
        <v>372</v>
      </c>
    </row>
    <row r="13" spans="1:16" ht="36.75">
      <c r="A13" s="23" t="s">
        <v>273</v>
      </c>
      <c r="B13" s="2" t="s">
        <v>183</v>
      </c>
      <c r="C13" s="2" t="s">
        <v>373</v>
      </c>
      <c r="D13" s="2" t="s">
        <v>348</v>
      </c>
      <c r="E13" s="2">
        <v>2017</v>
      </c>
      <c r="F13" s="21">
        <v>70000</v>
      </c>
      <c r="G13" s="9" t="s">
        <v>374</v>
      </c>
      <c r="H13" s="9"/>
      <c r="I13" s="9" t="s">
        <v>262</v>
      </c>
      <c r="J13" s="9" t="s">
        <v>265</v>
      </c>
      <c r="K13" s="65" t="s">
        <v>73</v>
      </c>
      <c r="L13" s="65" t="s">
        <v>375</v>
      </c>
      <c r="M13" s="65" t="s">
        <v>376</v>
      </c>
      <c r="N13" s="65" t="s">
        <v>377</v>
      </c>
      <c r="O13" s="65"/>
      <c r="P13" s="65" t="s">
        <v>378</v>
      </c>
    </row>
    <row r="14" spans="1:16" hidden="1">
      <c r="A14" s="23" t="s">
        <v>261</v>
      </c>
      <c r="B14" s="2"/>
      <c r="C14" s="2"/>
      <c r="D14" s="2"/>
      <c r="E14" s="2"/>
      <c r="F14" s="21"/>
      <c r="G14" s="9"/>
      <c r="H14" s="9"/>
      <c r="I14" s="9" t="s">
        <v>262</v>
      </c>
      <c r="J14" s="9" t="s">
        <v>73</v>
      </c>
      <c r="K14" s="65"/>
      <c r="L14" s="65" t="s">
        <v>379</v>
      </c>
      <c r="M14" s="65"/>
      <c r="N14" s="65"/>
      <c r="O14" s="65"/>
      <c r="P14" s="65"/>
    </row>
    <row r="15" spans="1:16" ht="30">
      <c r="A15" s="23" t="s">
        <v>315</v>
      </c>
      <c r="B15" s="2"/>
      <c r="C15" s="2"/>
      <c r="D15" s="2"/>
      <c r="E15" s="2"/>
      <c r="F15" s="21"/>
      <c r="G15" s="9"/>
      <c r="H15" s="9"/>
      <c r="I15" s="9" t="s">
        <v>262</v>
      </c>
      <c r="J15" s="9" t="s">
        <v>311</v>
      </c>
      <c r="K15" s="65"/>
      <c r="L15" s="65"/>
      <c r="M15" s="65"/>
      <c r="N15" s="65"/>
      <c r="O15" s="65" t="s">
        <v>380</v>
      </c>
      <c r="P15" s="65"/>
    </row>
    <row r="16" spans="1:16" hidden="1">
      <c r="A16" s="23" t="s">
        <v>272</v>
      </c>
      <c r="B16" s="2"/>
      <c r="C16" s="2"/>
      <c r="D16" s="2"/>
      <c r="E16" s="2"/>
      <c r="F16" s="21"/>
      <c r="G16" s="9"/>
      <c r="H16" s="9"/>
      <c r="I16" s="9"/>
      <c r="J16" s="9"/>
      <c r="K16" s="65"/>
      <c r="L16" s="65" t="s">
        <v>381</v>
      </c>
      <c r="M16" s="65"/>
      <c r="N16" s="65"/>
      <c r="O16" s="65"/>
      <c r="P16" s="65"/>
    </row>
    <row r="17" spans="1:16" ht="62.45" customHeight="1">
      <c r="A17" s="23" t="s">
        <v>274</v>
      </c>
      <c r="B17" s="2" t="s">
        <v>176</v>
      </c>
      <c r="C17" s="2" t="s">
        <v>339</v>
      </c>
      <c r="D17" s="2" t="s">
        <v>344</v>
      </c>
      <c r="E17" s="2">
        <v>2020</v>
      </c>
      <c r="F17" s="21">
        <v>1000000</v>
      </c>
      <c r="G17" s="9" t="s">
        <v>382</v>
      </c>
      <c r="H17" s="9"/>
      <c r="I17" s="9" t="s">
        <v>262</v>
      </c>
      <c r="J17" s="9" t="s">
        <v>265</v>
      </c>
      <c r="K17" s="65" t="s">
        <v>383</v>
      </c>
      <c r="L17" s="67" t="s">
        <v>384</v>
      </c>
      <c r="M17" s="65"/>
      <c r="N17" s="65" t="s">
        <v>385</v>
      </c>
      <c r="O17" s="65"/>
      <c r="P17" s="65" t="s">
        <v>386</v>
      </c>
    </row>
    <row r="18" spans="1:16" ht="30" hidden="1">
      <c r="A18" s="64" t="s">
        <v>263</v>
      </c>
      <c r="B18" s="2" t="s">
        <v>387</v>
      </c>
      <c r="C18" s="2" t="s">
        <v>388</v>
      </c>
      <c r="D18" s="2" t="s">
        <v>389</v>
      </c>
      <c r="E18" s="2">
        <v>2021</v>
      </c>
      <c r="F18" s="21">
        <v>10000</v>
      </c>
      <c r="G18" s="9" t="s">
        <v>390</v>
      </c>
      <c r="H18" s="9"/>
      <c r="I18" s="9" t="s">
        <v>262</v>
      </c>
      <c r="J18" s="9" t="s">
        <v>73</v>
      </c>
      <c r="K18" s="65" t="s">
        <v>294</v>
      </c>
      <c r="L18" s="65"/>
      <c r="M18" s="65"/>
      <c r="N18" s="65"/>
      <c r="O18" s="65"/>
      <c r="P18" s="65"/>
    </row>
    <row r="19" spans="1:16" ht="48.75">
      <c r="A19" s="23" t="s">
        <v>275</v>
      </c>
      <c r="B19" s="2"/>
      <c r="C19" s="2"/>
      <c r="D19" s="2"/>
      <c r="E19" s="2"/>
      <c r="F19" s="21"/>
      <c r="G19" s="9"/>
      <c r="H19" s="9"/>
      <c r="I19" s="9" t="s">
        <v>262</v>
      </c>
      <c r="J19" s="9" t="s">
        <v>265</v>
      </c>
      <c r="K19" s="65"/>
      <c r="L19" s="67" t="s">
        <v>391</v>
      </c>
      <c r="M19" s="65"/>
      <c r="N19" s="65"/>
      <c r="O19" s="65"/>
      <c r="P19" s="65" t="s">
        <v>392</v>
      </c>
    </row>
    <row r="20" spans="1:16" ht="30" hidden="1">
      <c r="A20" s="64" t="s">
        <v>393</v>
      </c>
      <c r="B20" s="2" t="s">
        <v>248</v>
      </c>
      <c r="C20" s="2" t="s">
        <v>237</v>
      </c>
      <c r="D20" s="2" t="s">
        <v>394</v>
      </c>
      <c r="E20" s="2">
        <v>2019</v>
      </c>
      <c r="F20" s="21">
        <v>100000</v>
      </c>
      <c r="G20" s="9" t="s">
        <v>395</v>
      </c>
      <c r="H20" s="9" t="s">
        <v>361</v>
      </c>
      <c r="I20" s="9"/>
      <c r="J20" s="9"/>
      <c r="K20" s="65"/>
      <c r="L20" s="65"/>
      <c r="M20" s="65"/>
      <c r="N20" s="65"/>
      <c r="O20" s="65"/>
      <c r="P20" s="65"/>
    </row>
    <row r="21" spans="1:16" ht="30" hidden="1">
      <c r="A21" s="64" t="s">
        <v>396</v>
      </c>
      <c r="B21" s="2" t="s">
        <v>397</v>
      </c>
      <c r="C21" s="2" t="s">
        <v>237</v>
      </c>
      <c r="D21" s="2" t="s">
        <v>344</v>
      </c>
      <c r="E21" s="2">
        <v>2019</v>
      </c>
      <c r="F21" s="21">
        <v>10000</v>
      </c>
      <c r="G21" s="9" t="s">
        <v>398</v>
      </c>
      <c r="H21" s="9" t="s">
        <v>361</v>
      </c>
      <c r="I21" s="9"/>
      <c r="J21" s="9"/>
      <c r="K21" s="65"/>
      <c r="L21" s="65"/>
      <c r="M21" s="65"/>
      <c r="N21" s="65"/>
      <c r="O21" s="65"/>
      <c r="P21" s="65"/>
    </row>
    <row r="22" spans="1:16" ht="30" hidden="1">
      <c r="A22" s="64" t="s">
        <v>399</v>
      </c>
      <c r="B22" s="2" t="s">
        <v>400</v>
      </c>
      <c r="C22" s="2" t="s">
        <v>237</v>
      </c>
      <c r="D22" s="2" t="s">
        <v>394</v>
      </c>
      <c r="E22" s="2">
        <v>2019</v>
      </c>
      <c r="F22" s="21">
        <v>15000</v>
      </c>
      <c r="G22" s="9" t="s">
        <v>395</v>
      </c>
      <c r="H22" s="9" t="s">
        <v>361</v>
      </c>
      <c r="I22" s="9"/>
      <c r="J22" s="9"/>
      <c r="K22" s="65"/>
      <c r="L22" s="65"/>
      <c r="M22" s="65"/>
      <c r="N22" s="65"/>
      <c r="O22" s="65"/>
      <c r="P22" s="65"/>
    </row>
    <row r="23" spans="1:16" ht="30">
      <c r="A23" s="23" t="s">
        <v>276</v>
      </c>
      <c r="B23" s="2"/>
      <c r="C23" s="2"/>
      <c r="D23" s="2"/>
      <c r="E23" s="2"/>
      <c r="F23" s="21"/>
      <c r="G23" s="9"/>
      <c r="H23" s="9"/>
      <c r="I23" s="9" t="s">
        <v>262</v>
      </c>
      <c r="J23" s="9" t="s">
        <v>265</v>
      </c>
      <c r="K23" s="65"/>
      <c r="L23" s="65"/>
      <c r="M23" s="65" t="s">
        <v>401</v>
      </c>
      <c r="N23" s="65"/>
      <c r="O23" s="65"/>
      <c r="P23" s="65" t="s">
        <v>392</v>
      </c>
    </row>
    <row r="24" spans="1:16" ht="41.25" customHeight="1">
      <c r="A24" s="23" t="s">
        <v>277</v>
      </c>
      <c r="B24" s="2" t="s">
        <v>250</v>
      </c>
      <c r="C24" s="2" t="s">
        <v>237</v>
      </c>
      <c r="D24" s="2" t="s">
        <v>344</v>
      </c>
      <c r="E24" s="2">
        <v>2020</v>
      </c>
      <c r="F24" s="21">
        <v>36000</v>
      </c>
      <c r="G24" s="9" t="s">
        <v>402</v>
      </c>
      <c r="H24" s="9"/>
      <c r="I24" s="9" t="s">
        <v>262</v>
      </c>
      <c r="J24" s="9" t="s">
        <v>265</v>
      </c>
      <c r="K24" s="65" t="s">
        <v>403</v>
      </c>
      <c r="L24" s="65" t="s">
        <v>404</v>
      </c>
      <c r="M24" s="65" t="s">
        <v>405</v>
      </c>
      <c r="N24" s="65" t="s">
        <v>406</v>
      </c>
      <c r="O24" s="65"/>
      <c r="P24" s="65"/>
    </row>
    <row r="25" spans="1:16" ht="36.75">
      <c r="A25" s="23" t="s">
        <v>280</v>
      </c>
      <c r="B25" s="2" t="s">
        <v>407</v>
      </c>
      <c r="C25" s="2" t="s">
        <v>237</v>
      </c>
      <c r="D25" s="2" t="s">
        <v>344</v>
      </c>
      <c r="E25" s="2">
        <v>2021</v>
      </c>
      <c r="F25" s="21">
        <v>25000</v>
      </c>
      <c r="G25" s="9" t="s">
        <v>408</v>
      </c>
      <c r="H25" s="9"/>
      <c r="I25" s="9" t="s">
        <v>281</v>
      </c>
      <c r="J25" s="9" t="s">
        <v>265</v>
      </c>
      <c r="K25" s="65" t="s">
        <v>409</v>
      </c>
      <c r="L25" s="65" t="s">
        <v>410</v>
      </c>
      <c r="M25" s="65"/>
      <c r="N25" s="65"/>
      <c r="O25" s="65"/>
      <c r="P25" s="65" t="s">
        <v>392</v>
      </c>
    </row>
    <row r="26" spans="1:16" ht="30" hidden="1">
      <c r="A26" s="64" t="s">
        <v>278</v>
      </c>
      <c r="B26" s="2" t="s">
        <v>411</v>
      </c>
      <c r="C26" s="2" t="s">
        <v>339</v>
      </c>
      <c r="D26" s="2" t="s">
        <v>412</v>
      </c>
      <c r="E26" s="2">
        <v>2016</v>
      </c>
      <c r="F26" s="21">
        <v>20000</v>
      </c>
      <c r="G26" s="9" t="s">
        <v>413</v>
      </c>
      <c r="H26" s="9" t="s">
        <v>267</v>
      </c>
      <c r="I26" s="9"/>
      <c r="J26" s="9"/>
      <c r="K26" s="65"/>
      <c r="L26" s="65"/>
      <c r="M26" s="65"/>
      <c r="N26" s="65"/>
      <c r="O26" s="65"/>
      <c r="P26" s="65" t="s">
        <v>279</v>
      </c>
    </row>
    <row r="27" spans="1:16" ht="48.75">
      <c r="A27" s="23" t="s">
        <v>282</v>
      </c>
      <c r="B27" s="2"/>
      <c r="C27" s="2"/>
      <c r="D27" s="2"/>
      <c r="E27" s="2"/>
      <c r="F27" s="21"/>
      <c r="G27" s="9"/>
      <c r="H27" s="9"/>
      <c r="I27" s="9" t="s">
        <v>262</v>
      </c>
      <c r="J27" s="9" t="s">
        <v>265</v>
      </c>
      <c r="K27" s="65" t="s">
        <v>401</v>
      </c>
      <c r="L27" s="65"/>
      <c r="M27" s="65" t="s">
        <v>414</v>
      </c>
      <c r="N27" s="65" t="s">
        <v>415</v>
      </c>
      <c r="O27" s="65"/>
      <c r="P27" s="65" t="s">
        <v>416</v>
      </c>
    </row>
    <row r="28" spans="1:16" ht="36.75">
      <c r="A28" s="23" t="s">
        <v>283</v>
      </c>
      <c r="B28" s="2" t="s">
        <v>417</v>
      </c>
      <c r="C28" s="2" t="s">
        <v>373</v>
      </c>
      <c r="D28" s="2" t="s">
        <v>344</v>
      </c>
      <c r="E28" s="2">
        <v>2020</v>
      </c>
      <c r="F28" s="21">
        <v>25000</v>
      </c>
      <c r="G28" s="9" t="s">
        <v>418</v>
      </c>
      <c r="H28" s="9"/>
      <c r="I28" s="9" t="s">
        <v>262</v>
      </c>
      <c r="J28" s="9" t="s">
        <v>265</v>
      </c>
      <c r="K28" s="65" t="s">
        <v>419</v>
      </c>
      <c r="L28" s="67" t="s">
        <v>420</v>
      </c>
      <c r="M28" s="65" t="s">
        <v>421</v>
      </c>
      <c r="N28" s="65" t="s">
        <v>267</v>
      </c>
      <c r="O28" s="65"/>
      <c r="P28" s="65" t="s">
        <v>422</v>
      </c>
    </row>
    <row r="29" spans="1:16" ht="30" hidden="1">
      <c r="A29" s="64" t="s">
        <v>423</v>
      </c>
      <c r="B29" s="2" t="s">
        <v>176</v>
      </c>
      <c r="C29" s="2" t="s">
        <v>339</v>
      </c>
      <c r="D29" s="2" t="s">
        <v>424</v>
      </c>
      <c r="E29" s="2">
        <v>2016</v>
      </c>
      <c r="F29" s="21">
        <v>135000</v>
      </c>
      <c r="G29" s="9" t="s">
        <v>425</v>
      </c>
      <c r="H29" s="9" t="s">
        <v>361</v>
      </c>
      <c r="I29" s="9"/>
      <c r="J29" s="9"/>
      <c r="K29" s="65"/>
      <c r="L29" s="65"/>
      <c r="M29" s="65"/>
      <c r="N29" s="65"/>
      <c r="O29" s="65"/>
      <c r="P29" s="65"/>
    </row>
    <row r="30" spans="1:16" ht="45">
      <c r="A30" s="23" t="s">
        <v>284</v>
      </c>
      <c r="B30" s="2" t="s">
        <v>245</v>
      </c>
      <c r="C30" s="2" t="s">
        <v>339</v>
      </c>
      <c r="D30" s="2" t="s">
        <v>344</v>
      </c>
      <c r="E30" s="2">
        <v>2012</v>
      </c>
      <c r="F30" s="21">
        <v>50000</v>
      </c>
      <c r="G30" s="9" t="s">
        <v>426</v>
      </c>
      <c r="H30" s="9"/>
      <c r="I30" s="9" t="s">
        <v>262</v>
      </c>
      <c r="J30" s="9" t="s">
        <v>265</v>
      </c>
      <c r="K30" s="65" t="s">
        <v>401</v>
      </c>
      <c r="L30" s="65"/>
      <c r="M30" s="65" t="s">
        <v>427</v>
      </c>
      <c r="N30" s="65" t="s">
        <v>428</v>
      </c>
      <c r="O30" s="65"/>
      <c r="P30" s="65" t="s">
        <v>429</v>
      </c>
    </row>
    <row r="31" spans="1:16" ht="30">
      <c r="A31" s="23" t="s">
        <v>285</v>
      </c>
      <c r="B31" s="2" t="s">
        <v>176</v>
      </c>
      <c r="C31" s="2" t="s">
        <v>285</v>
      </c>
      <c r="D31" s="2" t="s">
        <v>394</v>
      </c>
      <c r="E31" s="2">
        <v>2021</v>
      </c>
      <c r="F31" s="21">
        <v>300000</v>
      </c>
      <c r="G31" s="9" t="s">
        <v>430</v>
      </c>
      <c r="H31" s="9"/>
      <c r="I31" s="9" t="s">
        <v>262</v>
      </c>
      <c r="J31" s="9" t="s">
        <v>265</v>
      </c>
      <c r="K31" s="65" t="s">
        <v>431</v>
      </c>
      <c r="L31" s="65" t="s">
        <v>432</v>
      </c>
      <c r="M31" s="65"/>
      <c r="N31" s="65"/>
      <c r="O31" s="65"/>
      <c r="P31" s="65" t="s">
        <v>433</v>
      </c>
    </row>
    <row r="32" spans="1:16" hidden="1">
      <c r="A32" s="64" t="s">
        <v>320</v>
      </c>
      <c r="B32" s="2"/>
      <c r="C32" s="2"/>
      <c r="D32" s="2"/>
      <c r="E32" s="2"/>
      <c r="F32" s="21"/>
      <c r="G32" s="9"/>
      <c r="H32" s="9"/>
      <c r="I32" s="9" t="s">
        <v>281</v>
      </c>
      <c r="J32" s="9"/>
      <c r="K32" s="65" t="s">
        <v>288</v>
      </c>
      <c r="L32" s="65" t="s">
        <v>434</v>
      </c>
      <c r="M32" s="65" t="s">
        <v>435</v>
      </c>
      <c r="N32" s="65" t="s">
        <v>435</v>
      </c>
      <c r="O32" s="65"/>
      <c r="P32" s="17" t="s">
        <v>436</v>
      </c>
    </row>
    <row r="33" spans="1:16">
      <c r="A33" s="23" t="s">
        <v>287</v>
      </c>
      <c r="B33" s="2" t="s">
        <v>210</v>
      </c>
      <c r="C33" s="2" t="s">
        <v>437</v>
      </c>
      <c r="D33" s="2" t="s">
        <v>344</v>
      </c>
      <c r="E33" s="2">
        <v>2012</v>
      </c>
      <c r="F33" s="21">
        <v>50000</v>
      </c>
      <c r="G33" s="9" t="s">
        <v>438</v>
      </c>
      <c r="H33" s="9" t="s">
        <v>439</v>
      </c>
      <c r="I33" s="9" t="s">
        <v>281</v>
      </c>
      <c r="J33" s="9" t="s">
        <v>289</v>
      </c>
      <c r="K33" s="65" t="s">
        <v>288</v>
      </c>
      <c r="L33" s="65" t="s">
        <v>288</v>
      </c>
      <c r="M33" s="65" t="s">
        <v>440</v>
      </c>
      <c r="N33" s="65" t="s">
        <v>288</v>
      </c>
      <c r="O33" s="76" t="s">
        <v>441</v>
      </c>
      <c r="P33" s="17" t="s">
        <v>442</v>
      </c>
    </row>
    <row r="34" spans="1:16" ht="30" hidden="1">
      <c r="A34" s="64" t="s">
        <v>443</v>
      </c>
      <c r="B34" s="2" t="s">
        <v>176</v>
      </c>
      <c r="C34" s="2" t="s">
        <v>339</v>
      </c>
      <c r="D34" s="2" t="s">
        <v>444</v>
      </c>
      <c r="E34" s="2">
        <v>2019</v>
      </c>
      <c r="F34" s="21">
        <v>10000</v>
      </c>
      <c r="G34" s="9" t="s">
        <v>445</v>
      </c>
      <c r="H34" s="9" t="s">
        <v>361</v>
      </c>
      <c r="I34" s="9"/>
      <c r="J34" s="9"/>
      <c r="K34" s="65"/>
      <c r="L34" s="65"/>
      <c r="M34" s="65"/>
      <c r="N34" s="65"/>
      <c r="O34" s="65"/>
      <c r="P34" s="65"/>
    </row>
    <row r="35" spans="1:16" ht="15" customHeight="1">
      <c r="A35" s="23" t="s">
        <v>292</v>
      </c>
      <c r="B35" s="2" t="s">
        <v>446</v>
      </c>
      <c r="C35" s="2" t="s">
        <v>237</v>
      </c>
      <c r="D35" s="2" t="s">
        <v>344</v>
      </c>
      <c r="E35" s="2">
        <v>2020</v>
      </c>
      <c r="F35" s="21">
        <v>25000</v>
      </c>
      <c r="G35" s="9" t="s">
        <v>447</v>
      </c>
      <c r="H35" s="9" t="s">
        <v>173</v>
      </c>
      <c r="I35" s="9" t="s">
        <v>281</v>
      </c>
      <c r="J35" s="9" t="s">
        <v>289</v>
      </c>
      <c r="K35" s="65" t="s">
        <v>401</v>
      </c>
      <c r="L35" s="65" t="s">
        <v>294</v>
      </c>
      <c r="M35" s="65" t="s">
        <v>448</v>
      </c>
      <c r="N35" s="65" t="s">
        <v>449</v>
      </c>
      <c r="O35" s="76" t="s">
        <v>450</v>
      </c>
      <c r="P35" s="65"/>
    </row>
    <row r="36" spans="1:16">
      <c r="A36" s="23" t="s">
        <v>451</v>
      </c>
      <c r="B36" s="2" t="s">
        <v>176</v>
      </c>
      <c r="C36" s="2" t="s">
        <v>339</v>
      </c>
      <c r="D36" s="2" t="s">
        <v>344</v>
      </c>
      <c r="E36" s="2">
        <v>2021</v>
      </c>
      <c r="F36" s="21">
        <v>210000</v>
      </c>
      <c r="G36" s="9" t="s">
        <v>452</v>
      </c>
      <c r="H36" s="9" t="s">
        <v>296</v>
      </c>
      <c r="I36" s="9" t="s">
        <v>281</v>
      </c>
      <c r="J36" s="71" t="s">
        <v>289</v>
      </c>
      <c r="K36" s="72" t="s">
        <v>288</v>
      </c>
      <c r="L36" s="72" t="s">
        <v>288</v>
      </c>
      <c r="M36" s="72" t="s">
        <v>312</v>
      </c>
      <c r="N36" s="72" t="s">
        <v>453</v>
      </c>
      <c r="O36" s="77" t="s">
        <v>441</v>
      </c>
      <c r="P36" s="72" t="s">
        <v>454</v>
      </c>
    </row>
    <row r="37" spans="1:16">
      <c r="A37" s="23" t="s">
        <v>295</v>
      </c>
      <c r="B37" s="2" t="s">
        <v>176</v>
      </c>
      <c r="C37" s="2" t="s">
        <v>339</v>
      </c>
      <c r="D37" s="2" t="s">
        <v>344</v>
      </c>
      <c r="E37" s="2">
        <v>2021</v>
      </c>
      <c r="F37" s="21">
        <v>200000</v>
      </c>
      <c r="G37" s="9"/>
      <c r="H37" s="9" t="s">
        <v>296</v>
      </c>
      <c r="I37" s="9" t="s">
        <v>281</v>
      </c>
      <c r="J37" s="71" t="s">
        <v>289</v>
      </c>
      <c r="K37" s="72" t="s">
        <v>401</v>
      </c>
      <c r="L37" s="72" t="s">
        <v>288</v>
      </c>
      <c r="M37" s="72" t="s">
        <v>288</v>
      </c>
      <c r="N37" s="72" t="s">
        <v>288</v>
      </c>
      <c r="O37" s="77" t="s">
        <v>441</v>
      </c>
      <c r="P37" s="72" t="s">
        <v>455</v>
      </c>
    </row>
    <row r="38" spans="1:16" ht="60" hidden="1">
      <c r="A38" s="64" t="s">
        <v>456</v>
      </c>
      <c r="B38" s="2" t="s">
        <v>176</v>
      </c>
      <c r="C38" s="2" t="s">
        <v>339</v>
      </c>
      <c r="D38" s="2" t="s">
        <v>348</v>
      </c>
      <c r="E38" s="2">
        <v>2014</v>
      </c>
      <c r="F38" s="21">
        <v>675000</v>
      </c>
      <c r="G38" s="9" t="s">
        <v>457</v>
      </c>
      <c r="H38" s="9" t="s">
        <v>361</v>
      </c>
      <c r="I38" s="9"/>
      <c r="J38" s="9"/>
      <c r="K38" s="65"/>
      <c r="L38" s="65"/>
      <c r="M38" s="65"/>
      <c r="N38" s="65"/>
      <c r="O38" s="65"/>
      <c r="P38" s="65" t="s">
        <v>458</v>
      </c>
    </row>
    <row r="39" spans="1:16" ht="14.25" customHeight="1">
      <c r="A39" s="23" t="s">
        <v>310</v>
      </c>
      <c r="B39" s="2" t="s">
        <v>245</v>
      </c>
      <c r="C39" s="2" t="s">
        <v>339</v>
      </c>
      <c r="D39" s="2" t="s">
        <v>459</v>
      </c>
      <c r="E39" s="2">
        <v>2013</v>
      </c>
      <c r="F39" s="21">
        <v>25000</v>
      </c>
      <c r="G39" s="9" t="s">
        <v>460</v>
      </c>
      <c r="H39" s="9" t="s">
        <v>296</v>
      </c>
      <c r="I39" s="9" t="s">
        <v>281</v>
      </c>
      <c r="J39" s="9" t="s">
        <v>289</v>
      </c>
      <c r="K39" s="65" t="s">
        <v>401</v>
      </c>
      <c r="L39" s="65" t="s">
        <v>288</v>
      </c>
      <c r="M39" s="65" t="s">
        <v>288</v>
      </c>
      <c r="N39" s="65" t="s">
        <v>453</v>
      </c>
      <c r="O39" s="76" t="s">
        <v>441</v>
      </c>
      <c r="P39" s="65" t="s">
        <v>461</v>
      </c>
    </row>
    <row r="40" spans="1:16" ht="24.75">
      <c r="A40" s="23" t="s">
        <v>319</v>
      </c>
      <c r="B40" s="2" t="s">
        <v>462</v>
      </c>
      <c r="C40" s="2" t="s">
        <v>339</v>
      </c>
      <c r="D40" s="2" t="s">
        <v>459</v>
      </c>
      <c r="E40" s="2">
        <v>2020</v>
      </c>
      <c r="F40" s="21">
        <v>25000</v>
      </c>
      <c r="G40" s="9" t="s">
        <v>463</v>
      </c>
      <c r="H40" s="9" t="s">
        <v>173</v>
      </c>
      <c r="I40" s="9" t="s">
        <v>281</v>
      </c>
      <c r="J40" s="9" t="s">
        <v>289</v>
      </c>
      <c r="K40" s="65" t="s">
        <v>401</v>
      </c>
      <c r="L40" s="65" t="s">
        <v>401</v>
      </c>
      <c r="M40" s="65" t="s">
        <v>401</v>
      </c>
      <c r="N40" s="65" t="s">
        <v>453</v>
      </c>
      <c r="O40" s="76" t="s">
        <v>450</v>
      </c>
      <c r="P40" s="65" t="s">
        <v>464</v>
      </c>
    </row>
    <row r="41" spans="1:16" hidden="1">
      <c r="A41" s="23" t="s">
        <v>290</v>
      </c>
      <c r="B41" s="2" t="s">
        <v>465</v>
      </c>
      <c r="C41" s="2" t="s">
        <v>237</v>
      </c>
      <c r="D41" s="2" t="s">
        <v>344</v>
      </c>
      <c r="E41" s="2">
        <v>2012</v>
      </c>
      <c r="F41" s="21">
        <v>50000</v>
      </c>
      <c r="G41" s="9" t="s">
        <v>466</v>
      </c>
      <c r="H41" s="9" t="s">
        <v>291</v>
      </c>
      <c r="I41" s="9" t="s">
        <v>281</v>
      </c>
      <c r="J41" s="9"/>
      <c r="K41" s="65"/>
      <c r="L41" s="65"/>
      <c r="M41" s="65"/>
      <c r="N41" s="65"/>
      <c r="O41" s="65"/>
      <c r="P41" s="17"/>
    </row>
    <row r="42" spans="1:16" hidden="1">
      <c r="A42" s="23" t="s">
        <v>286</v>
      </c>
      <c r="B42" s="2" t="s">
        <v>462</v>
      </c>
      <c r="C42" s="2" t="s">
        <v>237</v>
      </c>
      <c r="D42" s="2" t="s">
        <v>344</v>
      </c>
      <c r="E42" s="2">
        <v>2016</v>
      </c>
      <c r="F42" s="21">
        <v>25000</v>
      </c>
      <c r="G42" s="9" t="s">
        <v>467</v>
      </c>
      <c r="H42" s="9"/>
      <c r="I42" s="9" t="s">
        <v>281</v>
      </c>
      <c r="J42" s="9" t="s">
        <v>343</v>
      </c>
      <c r="K42" s="65" t="s">
        <v>294</v>
      </c>
      <c r="L42" s="65" t="s">
        <v>468</v>
      </c>
      <c r="M42" s="65" t="s">
        <v>324</v>
      </c>
      <c r="N42" s="65" t="s">
        <v>468</v>
      </c>
      <c r="O42" s="65"/>
      <c r="P42" s="65"/>
    </row>
    <row r="43" spans="1:16" hidden="1">
      <c r="A43" s="23" t="s">
        <v>313</v>
      </c>
      <c r="B43" s="2" t="s">
        <v>176</v>
      </c>
      <c r="C43" s="2" t="s">
        <v>373</v>
      </c>
      <c r="D43" s="2" t="s">
        <v>394</v>
      </c>
      <c r="E43" s="2">
        <v>2018</v>
      </c>
      <c r="F43" s="21">
        <v>75000</v>
      </c>
      <c r="G43" s="9" t="s">
        <v>469</v>
      </c>
      <c r="H43" s="9"/>
      <c r="I43" s="9" t="s">
        <v>281</v>
      </c>
      <c r="J43" s="9" t="s">
        <v>343</v>
      </c>
      <c r="K43" s="65" t="s">
        <v>470</v>
      </c>
      <c r="L43" s="65" t="s">
        <v>470</v>
      </c>
      <c r="M43" s="65" t="s">
        <v>470</v>
      </c>
      <c r="N43" s="65" t="s">
        <v>468</v>
      </c>
      <c r="O43" s="65"/>
      <c r="P43" s="65"/>
    </row>
    <row r="44" spans="1:16" ht="30" hidden="1">
      <c r="A44" s="66" t="s">
        <v>471</v>
      </c>
      <c r="B44" s="2" t="s">
        <v>176</v>
      </c>
      <c r="C44" s="2" t="s">
        <v>373</v>
      </c>
      <c r="D44" s="2" t="s">
        <v>344</v>
      </c>
      <c r="E44" s="2">
        <v>2019</v>
      </c>
      <c r="F44" s="21">
        <v>75000</v>
      </c>
      <c r="G44" s="9" t="s">
        <v>472</v>
      </c>
      <c r="H44" s="9"/>
      <c r="I44" s="9" t="s">
        <v>281</v>
      </c>
      <c r="J44" s="9" t="s">
        <v>343</v>
      </c>
      <c r="K44" s="65"/>
      <c r="L44" s="65"/>
      <c r="M44" s="65"/>
      <c r="N44" s="65"/>
      <c r="O44" s="65"/>
      <c r="P44" s="65"/>
    </row>
    <row r="45" spans="1:16" hidden="1">
      <c r="A45" s="64" t="s">
        <v>437</v>
      </c>
      <c r="B45" s="2" t="s">
        <v>176</v>
      </c>
      <c r="C45" s="2" t="s">
        <v>437</v>
      </c>
      <c r="D45" s="2" t="s">
        <v>344</v>
      </c>
      <c r="E45" s="2">
        <v>2019</v>
      </c>
      <c r="F45" s="21">
        <v>7000</v>
      </c>
      <c r="G45" s="9" t="s">
        <v>473</v>
      </c>
      <c r="H45" s="9" t="s">
        <v>350</v>
      </c>
      <c r="I45" s="9"/>
      <c r="J45" s="9"/>
      <c r="K45" s="65"/>
      <c r="L45" s="65"/>
      <c r="M45" s="65"/>
      <c r="N45" s="65"/>
      <c r="O45" s="65"/>
      <c r="P45" s="65"/>
    </row>
    <row r="46" spans="1:16" hidden="1">
      <c r="A46" s="23" t="s">
        <v>305</v>
      </c>
      <c r="B46" s="2"/>
      <c r="C46" s="2"/>
      <c r="D46" s="2"/>
      <c r="E46" s="2"/>
      <c r="F46" s="21"/>
      <c r="G46" s="9"/>
      <c r="H46" s="9"/>
      <c r="I46" s="9" t="s">
        <v>281</v>
      </c>
      <c r="J46" s="9" t="s">
        <v>343</v>
      </c>
      <c r="K46" s="65" t="s">
        <v>470</v>
      </c>
      <c r="L46" s="65" t="s">
        <v>470</v>
      </c>
      <c r="M46" s="65" t="s">
        <v>470</v>
      </c>
      <c r="N46" s="65" t="s">
        <v>468</v>
      </c>
      <c r="O46" s="65"/>
      <c r="P46" s="65" t="s">
        <v>474</v>
      </c>
    </row>
    <row r="47" spans="1:16" ht="12.95" hidden="1" customHeight="1">
      <c r="A47" s="64" t="s">
        <v>475</v>
      </c>
      <c r="B47" s="2" t="s">
        <v>462</v>
      </c>
      <c r="C47" s="2" t="s">
        <v>437</v>
      </c>
      <c r="D47" s="2" t="s">
        <v>344</v>
      </c>
      <c r="E47" s="2">
        <v>2019</v>
      </c>
      <c r="F47" s="21">
        <v>25000</v>
      </c>
      <c r="G47" s="9" t="s">
        <v>476</v>
      </c>
      <c r="H47" s="9" t="s">
        <v>350</v>
      </c>
      <c r="I47" s="9" t="s">
        <v>73</v>
      </c>
      <c r="J47" s="9" t="s">
        <v>73</v>
      </c>
      <c r="K47" s="65"/>
      <c r="L47" s="65"/>
      <c r="M47" s="65"/>
      <c r="N47" s="65"/>
      <c r="O47" s="65"/>
      <c r="P47" s="65"/>
    </row>
    <row r="48" spans="1:16">
      <c r="A48" s="23" t="s">
        <v>321</v>
      </c>
      <c r="B48" s="2" t="s">
        <v>462</v>
      </c>
      <c r="C48" s="2" t="s">
        <v>477</v>
      </c>
      <c r="D48" s="2" t="s">
        <v>394</v>
      </c>
      <c r="E48" s="2">
        <v>2016</v>
      </c>
      <c r="F48" s="21">
        <v>110000</v>
      </c>
      <c r="G48" s="9" t="s">
        <v>478</v>
      </c>
      <c r="H48" s="9" t="s">
        <v>173</v>
      </c>
      <c r="I48" s="9" t="s">
        <v>281</v>
      </c>
      <c r="J48" s="9" t="s">
        <v>289</v>
      </c>
      <c r="K48" s="65" t="s">
        <v>288</v>
      </c>
      <c r="L48" s="65" t="s">
        <v>288</v>
      </c>
      <c r="M48" s="65" t="s">
        <v>479</v>
      </c>
      <c r="N48" s="65" t="s">
        <v>324</v>
      </c>
      <c r="O48" s="76" t="s">
        <v>480</v>
      </c>
      <c r="P48" s="65" t="s">
        <v>481</v>
      </c>
    </row>
    <row r="49" spans="1:16" ht="30">
      <c r="A49" s="23" t="s">
        <v>316</v>
      </c>
      <c r="B49" s="2" t="s">
        <v>245</v>
      </c>
      <c r="C49" s="2" t="s">
        <v>237</v>
      </c>
      <c r="D49" s="2" t="s">
        <v>344</v>
      </c>
      <c r="E49" s="2">
        <v>2019</v>
      </c>
      <c r="F49" s="21">
        <v>10000</v>
      </c>
      <c r="G49" s="9" t="s">
        <v>482</v>
      </c>
      <c r="H49" s="9"/>
      <c r="I49" s="9" t="s">
        <v>281</v>
      </c>
      <c r="J49" s="9" t="s">
        <v>311</v>
      </c>
      <c r="K49" s="65"/>
      <c r="L49" s="65"/>
      <c r="M49" s="65" t="s">
        <v>294</v>
      </c>
      <c r="N49" s="65" t="s">
        <v>479</v>
      </c>
      <c r="O49" s="65"/>
      <c r="P49" s="65"/>
    </row>
    <row r="50" spans="1:16" hidden="1">
      <c r="A50" s="64" t="s">
        <v>483</v>
      </c>
      <c r="B50" s="2" t="s">
        <v>203</v>
      </c>
      <c r="C50" s="2" t="s">
        <v>373</v>
      </c>
      <c r="D50" s="2" t="s">
        <v>459</v>
      </c>
      <c r="E50" s="2">
        <v>2019</v>
      </c>
      <c r="F50" s="21">
        <v>30000</v>
      </c>
      <c r="G50" s="9" t="s">
        <v>484</v>
      </c>
      <c r="H50" s="9" t="s">
        <v>350</v>
      </c>
      <c r="I50" s="9" t="s">
        <v>262</v>
      </c>
      <c r="J50" s="9" t="s">
        <v>342</v>
      </c>
      <c r="K50" s="65" t="s">
        <v>324</v>
      </c>
      <c r="L50" s="65" t="s">
        <v>324</v>
      </c>
      <c r="M50" s="65" t="s">
        <v>324</v>
      </c>
      <c r="N50" s="65" t="s">
        <v>324</v>
      </c>
      <c r="O50" s="65"/>
      <c r="P50" s="65"/>
    </row>
    <row r="51" spans="1:16" ht="15.75" customHeight="1">
      <c r="A51" s="23" t="s">
        <v>299</v>
      </c>
      <c r="B51" s="2" t="s">
        <v>176</v>
      </c>
      <c r="C51" s="2" t="s">
        <v>485</v>
      </c>
      <c r="D51" s="2" t="s">
        <v>394</v>
      </c>
      <c r="E51" s="2">
        <v>2019</v>
      </c>
      <c r="F51" s="21">
        <v>250000</v>
      </c>
      <c r="G51" s="9" t="s">
        <v>486</v>
      </c>
      <c r="H51" s="9" t="s">
        <v>296</v>
      </c>
      <c r="I51" s="9" t="s">
        <v>281</v>
      </c>
      <c r="J51" s="9" t="s">
        <v>289</v>
      </c>
      <c r="K51" s="65" t="s">
        <v>401</v>
      </c>
      <c r="L51" s="65" t="s">
        <v>288</v>
      </c>
      <c r="M51" s="65" t="s">
        <v>288</v>
      </c>
      <c r="N51" s="65" t="s">
        <v>487</v>
      </c>
      <c r="O51" s="76" t="s">
        <v>441</v>
      </c>
      <c r="P51" s="65" t="s">
        <v>488</v>
      </c>
    </row>
    <row r="52" spans="1:16" ht="15" customHeight="1">
      <c r="A52" s="23" t="s">
        <v>301</v>
      </c>
      <c r="B52" s="2"/>
      <c r="C52" s="2"/>
      <c r="D52" s="2"/>
      <c r="E52" s="2"/>
      <c r="F52" s="21"/>
      <c r="G52" s="9"/>
      <c r="H52" s="9" t="s">
        <v>296</v>
      </c>
      <c r="I52" s="9" t="s">
        <v>281</v>
      </c>
      <c r="J52" s="9" t="s">
        <v>289</v>
      </c>
      <c r="K52" s="65" t="s">
        <v>288</v>
      </c>
      <c r="L52" s="65" t="s">
        <v>288</v>
      </c>
      <c r="M52" s="65" t="s">
        <v>489</v>
      </c>
      <c r="N52" s="65" t="s">
        <v>294</v>
      </c>
      <c r="O52" s="76" t="s">
        <v>441</v>
      </c>
      <c r="P52" s="65" t="s">
        <v>490</v>
      </c>
    </row>
    <row r="53" spans="1:16" hidden="1">
      <c r="A53" s="66" t="s">
        <v>318</v>
      </c>
      <c r="B53" s="2"/>
      <c r="C53" s="2"/>
      <c r="D53" s="2"/>
      <c r="E53" s="2"/>
      <c r="F53" s="21"/>
      <c r="G53" s="9"/>
      <c r="H53" s="9"/>
      <c r="I53" s="9"/>
      <c r="J53" s="9"/>
      <c r="K53" s="65" t="s">
        <v>288</v>
      </c>
      <c r="L53" s="65" t="s">
        <v>288</v>
      </c>
      <c r="M53" s="65"/>
      <c r="N53" s="65"/>
      <c r="O53" s="65"/>
      <c r="P53" s="65" t="s">
        <v>491</v>
      </c>
    </row>
    <row r="54" spans="1:16" hidden="1">
      <c r="A54" s="23" t="s">
        <v>314</v>
      </c>
      <c r="B54" s="2" t="s">
        <v>176</v>
      </c>
      <c r="C54" s="2" t="s">
        <v>485</v>
      </c>
      <c r="D54" s="2" t="s">
        <v>344</v>
      </c>
      <c r="E54" s="2">
        <v>2017</v>
      </c>
      <c r="F54" s="21">
        <v>25000</v>
      </c>
      <c r="G54" s="9" t="s">
        <v>492</v>
      </c>
      <c r="H54" s="9"/>
      <c r="I54" s="9" t="s">
        <v>281</v>
      </c>
      <c r="J54" s="9" t="s">
        <v>343</v>
      </c>
      <c r="K54" s="65" t="s">
        <v>294</v>
      </c>
      <c r="L54" s="65" t="s">
        <v>401</v>
      </c>
      <c r="M54" s="65" t="s">
        <v>470</v>
      </c>
      <c r="N54" s="65" t="s">
        <v>468</v>
      </c>
      <c r="O54" s="65"/>
      <c r="P54" s="65"/>
    </row>
    <row r="55" spans="1:16" ht="15.75" customHeight="1">
      <c r="A55" s="23" t="s">
        <v>322</v>
      </c>
      <c r="B55" s="2"/>
      <c r="C55" s="2"/>
      <c r="D55" s="2"/>
      <c r="E55" s="2"/>
      <c r="F55" s="21"/>
      <c r="G55" s="9"/>
      <c r="H55" s="9" t="s">
        <v>493</v>
      </c>
      <c r="I55" s="9" t="s">
        <v>281</v>
      </c>
      <c r="J55" s="9" t="s">
        <v>289</v>
      </c>
      <c r="K55" s="65" t="s">
        <v>288</v>
      </c>
      <c r="L55" s="65" t="s">
        <v>288</v>
      </c>
      <c r="M55" s="65" t="s">
        <v>494</v>
      </c>
      <c r="N55" s="65" t="s">
        <v>324</v>
      </c>
      <c r="O55" s="76" t="s">
        <v>450</v>
      </c>
      <c r="P55" s="17" t="s">
        <v>495</v>
      </c>
    </row>
    <row r="56" spans="1:16" ht="15.75" customHeight="1">
      <c r="A56" s="23" t="s">
        <v>496</v>
      </c>
      <c r="B56" s="2" t="s">
        <v>176</v>
      </c>
      <c r="C56" s="2" t="s">
        <v>339</v>
      </c>
      <c r="D56" s="2" t="s">
        <v>344</v>
      </c>
      <c r="E56" s="2">
        <v>2014</v>
      </c>
      <c r="F56" s="21">
        <v>50000</v>
      </c>
      <c r="G56" s="9" t="s">
        <v>497</v>
      </c>
      <c r="H56" s="9" t="s">
        <v>296</v>
      </c>
      <c r="I56" s="9" t="s">
        <v>281</v>
      </c>
      <c r="J56" s="71" t="s">
        <v>289</v>
      </c>
      <c r="K56" s="72" t="s">
        <v>288</v>
      </c>
      <c r="L56" s="72" t="s">
        <v>288</v>
      </c>
      <c r="M56" s="72" t="s">
        <v>288</v>
      </c>
      <c r="N56" s="72" t="s">
        <v>294</v>
      </c>
      <c r="O56" s="77" t="s">
        <v>441</v>
      </c>
      <c r="P56" s="72" t="s">
        <v>498</v>
      </c>
    </row>
    <row r="57" spans="1:16" ht="24.75">
      <c r="A57" s="23" t="s">
        <v>317</v>
      </c>
      <c r="B57" s="2"/>
      <c r="C57" s="2"/>
      <c r="D57" s="2"/>
      <c r="E57" s="2"/>
      <c r="F57" s="21"/>
      <c r="G57" s="9"/>
      <c r="H57" s="9" t="s">
        <v>291</v>
      </c>
      <c r="I57" s="9" t="s">
        <v>281</v>
      </c>
      <c r="J57" s="9" t="s">
        <v>289</v>
      </c>
      <c r="K57" s="65" t="s">
        <v>479</v>
      </c>
      <c r="L57" s="65" t="s">
        <v>479</v>
      </c>
      <c r="M57" s="65" t="s">
        <v>499</v>
      </c>
      <c r="N57" s="65" t="s">
        <v>324</v>
      </c>
      <c r="O57" s="76" t="s">
        <v>450</v>
      </c>
      <c r="P57" s="65" t="s">
        <v>500</v>
      </c>
    </row>
    <row r="58" spans="1:16">
      <c r="A58" s="23" t="s">
        <v>304</v>
      </c>
      <c r="B58" s="2" t="s">
        <v>176</v>
      </c>
      <c r="C58" s="2" t="s">
        <v>485</v>
      </c>
      <c r="D58" s="2" t="s">
        <v>344</v>
      </c>
      <c r="E58" s="2">
        <v>2012</v>
      </c>
      <c r="F58" s="21">
        <v>25000</v>
      </c>
      <c r="G58" s="9" t="s">
        <v>501</v>
      </c>
      <c r="H58" s="9" t="s">
        <v>502</v>
      </c>
      <c r="I58" s="9" t="s">
        <v>281</v>
      </c>
      <c r="J58" s="9" t="s">
        <v>289</v>
      </c>
      <c r="K58" s="65" t="s">
        <v>324</v>
      </c>
      <c r="L58" s="65"/>
      <c r="M58" s="65" t="s">
        <v>324</v>
      </c>
      <c r="N58" s="65" t="s">
        <v>324</v>
      </c>
      <c r="O58" s="76" t="s">
        <v>441</v>
      </c>
      <c r="P58" s="65" t="s">
        <v>503</v>
      </c>
    </row>
    <row r="59" spans="1:16">
      <c r="A59" s="23" t="s">
        <v>297</v>
      </c>
      <c r="B59" s="2" t="s">
        <v>176</v>
      </c>
      <c r="C59" s="2" t="s">
        <v>339</v>
      </c>
      <c r="D59" s="2" t="s">
        <v>504</v>
      </c>
      <c r="E59" s="2">
        <v>2021</v>
      </c>
      <c r="F59" s="21">
        <v>25000</v>
      </c>
      <c r="G59" s="9" t="s">
        <v>505</v>
      </c>
      <c r="H59" s="9" t="s">
        <v>296</v>
      </c>
      <c r="I59" s="9" t="s">
        <v>281</v>
      </c>
      <c r="J59" s="9" t="s">
        <v>289</v>
      </c>
      <c r="K59" s="65"/>
      <c r="L59" s="65" t="s">
        <v>506</v>
      </c>
      <c r="M59" s="65" t="s">
        <v>288</v>
      </c>
      <c r="N59" s="65" t="s">
        <v>453</v>
      </c>
      <c r="O59" s="76" t="s">
        <v>441</v>
      </c>
      <c r="P59" s="65"/>
    </row>
    <row r="60" spans="1:16">
      <c r="A60" s="64"/>
      <c r="B60" s="2"/>
      <c r="C60" s="2"/>
      <c r="D60" s="2"/>
      <c r="E60" s="2"/>
      <c r="F60" s="21"/>
      <c r="G60" s="9"/>
      <c r="H60" s="9"/>
      <c r="I60" s="9"/>
      <c r="J60" s="9"/>
      <c r="K60" s="65"/>
      <c r="L60" s="65"/>
      <c r="M60" s="65"/>
      <c r="N60" s="65"/>
      <c r="O60" s="76"/>
      <c r="P60" s="65"/>
    </row>
    <row r="61" spans="1:16">
      <c r="A61" s="64"/>
      <c r="B61" s="2"/>
      <c r="C61" s="2"/>
      <c r="D61" s="2"/>
      <c r="E61" s="2"/>
      <c r="F61" s="21"/>
      <c r="G61" s="9"/>
      <c r="H61" s="9"/>
      <c r="I61" s="9"/>
      <c r="J61" s="9"/>
      <c r="K61" s="65"/>
      <c r="L61" s="65"/>
      <c r="M61" s="65"/>
      <c r="N61" s="65"/>
      <c r="O61" s="76"/>
      <c r="P61" s="65"/>
    </row>
    <row r="62" spans="1:16">
      <c r="A62" s="64"/>
      <c r="B62" s="2"/>
      <c r="C62" s="2"/>
      <c r="D62" s="2"/>
      <c r="E62" s="2"/>
      <c r="F62" s="21"/>
      <c r="G62" s="9"/>
      <c r="H62" s="9"/>
      <c r="I62" s="9"/>
      <c r="J62" s="9"/>
      <c r="K62" s="65"/>
      <c r="L62" s="65"/>
      <c r="M62" s="65"/>
      <c r="N62" s="65"/>
      <c r="O62" s="76"/>
      <c r="P62" s="65"/>
    </row>
    <row r="63" spans="1:16">
      <c r="A63" s="64"/>
      <c r="B63" s="2"/>
      <c r="C63" s="2"/>
      <c r="D63" s="2"/>
      <c r="E63" s="2"/>
      <c r="F63" s="21"/>
      <c r="G63" s="9"/>
      <c r="H63" s="9"/>
      <c r="I63" s="9"/>
      <c r="J63" s="9"/>
      <c r="K63" s="65"/>
      <c r="L63" s="65"/>
      <c r="M63" s="65"/>
      <c r="N63" s="65"/>
      <c r="O63" s="76"/>
      <c r="P63" s="65"/>
    </row>
    <row r="64" spans="1:16">
      <c r="A64" s="64"/>
      <c r="B64" s="2"/>
      <c r="C64" s="2"/>
      <c r="D64" s="2"/>
      <c r="E64" s="2"/>
      <c r="F64" s="21"/>
      <c r="G64" s="9"/>
      <c r="H64" s="9"/>
      <c r="I64" s="9"/>
      <c r="J64" s="9"/>
      <c r="K64" s="65"/>
      <c r="L64" s="65"/>
      <c r="M64" s="65"/>
      <c r="N64" s="65"/>
      <c r="O64" s="76"/>
      <c r="P64" s="65"/>
    </row>
  </sheetData>
  <autoFilter ref="A2:P59" xr:uid="{2F0D2CFD-E2DD-4CE0-94D6-5AAFD74EAD1B}">
    <filterColumn colId="7">
      <filters blank="1">
        <filter val="Bryan Request Call"/>
        <filter val="Call Scheduled"/>
        <filter val="Confirmed"/>
        <filter val="Execution"/>
        <filter val="Missed Deadline"/>
        <filter val="Proposal"/>
      </filters>
    </filterColumn>
    <filterColumn colId="9">
      <filters>
        <filter val="AK"/>
        <filter val="BM"/>
        <filter val="MC"/>
      </filters>
    </filterColumn>
    <sortState xmlns:xlrd2="http://schemas.microsoft.com/office/spreadsheetml/2017/richdata2" ref="A33:P59">
      <sortCondition ref="J2:J59"/>
    </sortState>
  </autoFilter>
  <mergeCells count="2">
    <mergeCell ref="B1:G1"/>
    <mergeCell ref="H1:P1"/>
  </mergeCells>
  <phoneticPr fontId="10" type="noConversion"/>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12AD-A099-41A0-A3CA-B8E0ED91E83D}">
  <dimension ref="A1:I56"/>
  <sheetViews>
    <sheetView zoomScaleNormal="100" workbookViewId="0">
      <pane xSplit="1" ySplit="1" topLeftCell="B23" activePane="bottomRight" state="frozen"/>
      <selection pane="topRight" activeCell="B1" sqref="B1"/>
      <selection pane="bottomLeft" activeCell="A2" sqref="A2"/>
      <selection pane="bottomRight" activeCell="B33" sqref="B33"/>
    </sheetView>
  </sheetViews>
  <sheetFormatPr defaultColWidth="8.85546875" defaultRowHeight="15"/>
  <cols>
    <col min="1" max="1" width="28.42578125" customWidth="1"/>
    <col min="2" max="2" width="13.42578125" customWidth="1"/>
    <col min="3" max="3" width="8.85546875" style="40"/>
    <col min="6" max="6" width="16" customWidth="1"/>
    <col min="7" max="7" width="20.140625" bestFit="1" customWidth="1"/>
    <col min="8" max="8" width="17.42578125" customWidth="1"/>
    <col min="9" max="9" width="55" style="11" customWidth="1"/>
  </cols>
  <sheetData>
    <row r="1" spans="1:9" s="56" customFormat="1">
      <c r="A1" s="60" t="s">
        <v>507</v>
      </c>
      <c r="B1" s="10" t="s">
        <v>508</v>
      </c>
      <c r="C1" s="59" t="s">
        <v>254</v>
      </c>
      <c r="D1" s="59" t="s">
        <v>336</v>
      </c>
      <c r="E1" s="58" t="s">
        <v>253</v>
      </c>
      <c r="F1" s="8" t="s">
        <v>509</v>
      </c>
      <c r="G1" s="8" t="s">
        <v>510</v>
      </c>
      <c r="H1" s="8" t="s">
        <v>511</v>
      </c>
      <c r="I1" s="57" t="s">
        <v>338</v>
      </c>
    </row>
    <row r="2" spans="1:9" s="41" customFormat="1" ht="45">
      <c r="A2" s="2" t="s">
        <v>512</v>
      </c>
      <c r="B2" s="21">
        <v>75000</v>
      </c>
      <c r="C2" s="43" t="s">
        <v>262</v>
      </c>
      <c r="D2" s="2" t="s">
        <v>265</v>
      </c>
      <c r="E2" s="42" t="s">
        <v>513</v>
      </c>
      <c r="F2" s="2" t="s">
        <v>514</v>
      </c>
      <c r="G2" s="2" t="s">
        <v>515</v>
      </c>
      <c r="H2" s="2" t="s">
        <v>516</v>
      </c>
      <c r="I2" s="9" t="s">
        <v>517</v>
      </c>
    </row>
    <row r="3" spans="1:9" s="41" customFormat="1">
      <c r="A3" s="2" t="s">
        <v>287</v>
      </c>
      <c r="B3" s="21">
        <v>100000</v>
      </c>
      <c r="C3" s="49" t="s">
        <v>281</v>
      </c>
      <c r="D3" s="2" t="s">
        <v>289</v>
      </c>
      <c r="E3" s="42" t="s">
        <v>513</v>
      </c>
      <c r="F3" s="2" t="s">
        <v>518</v>
      </c>
      <c r="G3" s="26" t="s">
        <v>519</v>
      </c>
      <c r="H3" s="2"/>
      <c r="I3" s="9"/>
    </row>
    <row r="4" spans="1:9" s="41" customFormat="1">
      <c r="A4" s="2" t="s">
        <v>520</v>
      </c>
      <c r="B4" s="21">
        <v>150000</v>
      </c>
      <c r="C4" s="43" t="s">
        <v>262</v>
      </c>
      <c r="D4" s="2" t="s">
        <v>265</v>
      </c>
      <c r="E4" s="42" t="s">
        <v>513</v>
      </c>
      <c r="F4" s="2" t="s">
        <v>514</v>
      </c>
      <c r="G4" s="2" t="s">
        <v>515</v>
      </c>
      <c r="H4" s="2" t="s">
        <v>516</v>
      </c>
      <c r="I4" s="9"/>
    </row>
    <row r="5" spans="1:9" s="41" customFormat="1">
      <c r="A5" s="2" t="s">
        <v>521</v>
      </c>
      <c r="B5" s="21">
        <v>30000</v>
      </c>
      <c r="C5" s="49" t="s">
        <v>522</v>
      </c>
      <c r="D5" s="2" t="s">
        <v>343</v>
      </c>
      <c r="E5" s="42" t="s">
        <v>513</v>
      </c>
      <c r="F5" s="2" t="s">
        <v>523</v>
      </c>
      <c r="G5" s="2"/>
      <c r="H5" s="2"/>
      <c r="I5" s="9"/>
    </row>
    <row r="6" spans="1:9" s="41" customFormat="1">
      <c r="A6" s="46" t="s">
        <v>370</v>
      </c>
      <c r="B6" s="21"/>
      <c r="C6" s="43" t="s">
        <v>262</v>
      </c>
      <c r="D6" s="2" t="s">
        <v>265</v>
      </c>
      <c r="E6" s="42" t="s">
        <v>173</v>
      </c>
      <c r="F6" s="2"/>
      <c r="G6" s="2"/>
      <c r="H6" s="2"/>
      <c r="I6" s="9" t="s">
        <v>524</v>
      </c>
    </row>
    <row r="7" spans="1:9" s="41" customFormat="1" ht="45">
      <c r="A7" s="2" t="s">
        <v>525</v>
      </c>
      <c r="B7" s="21">
        <v>60000</v>
      </c>
      <c r="C7" s="43" t="s">
        <v>262</v>
      </c>
      <c r="D7" s="2" t="s">
        <v>265</v>
      </c>
      <c r="E7" s="42" t="s">
        <v>513</v>
      </c>
      <c r="F7" s="2" t="s">
        <v>526</v>
      </c>
      <c r="G7" s="2"/>
      <c r="H7" s="2" t="s">
        <v>527</v>
      </c>
      <c r="I7" s="9" t="s">
        <v>528</v>
      </c>
    </row>
    <row r="8" spans="1:9" s="41" customFormat="1">
      <c r="A8" s="2" t="s">
        <v>292</v>
      </c>
      <c r="B8" s="21">
        <v>40000</v>
      </c>
      <c r="C8" s="43" t="s">
        <v>281</v>
      </c>
      <c r="D8" s="2" t="s">
        <v>289</v>
      </c>
      <c r="E8" s="42" t="s">
        <v>513</v>
      </c>
      <c r="F8" s="2" t="s">
        <v>529</v>
      </c>
      <c r="G8" s="2"/>
      <c r="H8" s="2"/>
      <c r="I8" s="9" t="s">
        <v>530</v>
      </c>
    </row>
    <row r="9" spans="1:9" s="41" customFormat="1" ht="14.25" customHeight="1">
      <c r="A9" s="2" t="s">
        <v>531</v>
      </c>
      <c r="B9" s="21">
        <v>110000</v>
      </c>
      <c r="C9" s="43" t="s">
        <v>281</v>
      </c>
      <c r="D9" s="2" t="s">
        <v>289</v>
      </c>
      <c r="E9" s="42" t="s">
        <v>513</v>
      </c>
      <c r="F9" s="2" t="s">
        <v>532</v>
      </c>
      <c r="G9" s="26"/>
      <c r="H9" s="2"/>
      <c r="I9" s="9"/>
    </row>
    <row r="10" spans="1:9" s="41" customFormat="1">
      <c r="A10" s="2" t="s">
        <v>533</v>
      </c>
      <c r="B10" s="21">
        <v>1000000</v>
      </c>
      <c r="C10" s="43" t="s">
        <v>262</v>
      </c>
      <c r="D10" s="2" t="s">
        <v>265</v>
      </c>
      <c r="E10" s="42" t="s">
        <v>513</v>
      </c>
      <c r="F10" s="2"/>
      <c r="G10" s="2" t="s">
        <v>515</v>
      </c>
      <c r="H10" s="2"/>
      <c r="I10" s="9" t="s">
        <v>534</v>
      </c>
    </row>
    <row r="11" spans="1:9" s="41" customFormat="1">
      <c r="A11" s="46" t="s">
        <v>535</v>
      </c>
      <c r="B11" s="21"/>
      <c r="C11" s="43" t="s">
        <v>262</v>
      </c>
      <c r="D11" s="2" t="s">
        <v>265</v>
      </c>
      <c r="E11" s="42" t="s">
        <v>401</v>
      </c>
      <c r="F11" s="2"/>
      <c r="G11" s="2"/>
      <c r="H11" s="2"/>
      <c r="I11" s="51" t="s">
        <v>536</v>
      </c>
    </row>
    <row r="12" spans="1:9" s="41" customFormat="1">
      <c r="A12" s="2" t="s">
        <v>537</v>
      </c>
      <c r="B12" s="44">
        <v>25000</v>
      </c>
      <c r="C12" s="43" t="s">
        <v>262</v>
      </c>
      <c r="D12" s="2" t="s">
        <v>265</v>
      </c>
      <c r="E12" s="42" t="s">
        <v>513</v>
      </c>
      <c r="F12" s="2" t="s">
        <v>514</v>
      </c>
      <c r="G12" s="2" t="s">
        <v>73</v>
      </c>
      <c r="H12" s="2"/>
      <c r="I12" s="9" t="s">
        <v>538</v>
      </c>
    </row>
    <row r="13" spans="1:9" s="41" customFormat="1" ht="45">
      <c r="A13" s="2" t="s">
        <v>277</v>
      </c>
      <c r="B13" s="44">
        <v>40000</v>
      </c>
      <c r="C13" s="43" t="s">
        <v>262</v>
      </c>
      <c r="D13" s="2" t="s">
        <v>265</v>
      </c>
      <c r="E13" s="42" t="s">
        <v>513</v>
      </c>
      <c r="F13" s="2" t="s">
        <v>539</v>
      </c>
      <c r="G13" s="2" t="s">
        <v>515</v>
      </c>
      <c r="H13" s="2"/>
      <c r="I13" s="9" t="s">
        <v>540</v>
      </c>
    </row>
    <row r="14" spans="1:9" s="41" customFormat="1">
      <c r="A14" s="2" t="s">
        <v>541</v>
      </c>
      <c r="B14" s="44">
        <v>25000</v>
      </c>
      <c r="C14" s="49" t="s">
        <v>522</v>
      </c>
      <c r="D14" s="2" t="s">
        <v>343</v>
      </c>
      <c r="E14" s="42" t="s">
        <v>513</v>
      </c>
      <c r="F14" s="2" t="s">
        <v>542</v>
      </c>
      <c r="G14" s="2"/>
      <c r="H14" s="2"/>
      <c r="I14" s="9"/>
    </row>
    <row r="15" spans="1:9" s="41" customFormat="1">
      <c r="A15" s="2" t="s">
        <v>246</v>
      </c>
      <c r="B15" s="44">
        <v>76500</v>
      </c>
      <c r="C15" s="49" t="s">
        <v>522</v>
      </c>
      <c r="D15" s="2" t="s">
        <v>342</v>
      </c>
      <c r="E15" s="42" t="s">
        <v>513</v>
      </c>
      <c r="F15" s="2" t="s">
        <v>543</v>
      </c>
      <c r="G15" s="2"/>
      <c r="H15" s="2"/>
      <c r="I15" s="9"/>
    </row>
    <row r="16" spans="1:9" s="41" customFormat="1">
      <c r="A16" s="2" t="s">
        <v>544</v>
      </c>
      <c r="B16" s="44">
        <v>50000</v>
      </c>
      <c r="C16" s="49" t="s">
        <v>281</v>
      </c>
      <c r="D16" s="2" t="s">
        <v>289</v>
      </c>
      <c r="E16" s="42" t="s">
        <v>401</v>
      </c>
      <c r="F16" s="2"/>
      <c r="G16" s="26" t="s">
        <v>519</v>
      </c>
      <c r="H16" s="2"/>
      <c r="I16" s="9"/>
    </row>
    <row r="17" spans="1:9">
      <c r="A17" s="2" t="s">
        <v>295</v>
      </c>
      <c r="B17" s="44">
        <v>400000</v>
      </c>
      <c r="C17" s="43" t="s">
        <v>281</v>
      </c>
      <c r="D17" s="2" t="s">
        <v>289</v>
      </c>
      <c r="E17" s="42" t="s">
        <v>513</v>
      </c>
      <c r="F17" s="2"/>
      <c r="G17" s="26" t="s">
        <v>519</v>
      </c>
      <c r="H17" s="2"/>
      <c r="I17" s="45"/>
    </row>
    <row r="18" spans="1:9">
      <c r="A18" s="2" t="s">
        <v>545</v>
      </c>
      <c r="B18" s="44">
        <v>25000</v>
      </c>
      <c r="C18" s="43" t="s">
        <v>281</v>
      </c>
      <c r="D18" s="2" t="s">
        <v>289</v>
      </c>
      <c r="E18" s="42" t="s">
        <v>513</v>
      </c>
      <c r="F18" s="2" t="s">
        <v>514</v>
      </c>
      <c r="G18" s="26" t="s">
        <v>519</v>
      </c>
      <c r="H18" s="2" t="s">
        <v>546</v>
      </c>
      <c r="I18" s="45"/>
    </row>
    <row r="19" spans="1:9">
      <c r="A19" s="2" t="s">
        <v>547</v>
      </c>
      <c r="B19" s="44">
        <v>30000</v>
      </c>
      <c r="C19" s="43" t="s">
        <v>281</v>
      </c>
      <c r="D19" s="2" t="s">
        <v>289</v>
      </c>
      <c r="E19" s="42" t="s">
        <v>513</v>
      </c>
      <c r="F19" s="2" t="s">
        <v>548</v>
      </c>
      <c r="G19" s="26" t="s">
        <v>519</v>
      </c>
      <c r="H19" s="2" t="s">
        <v>549</v>
      </c>
      <c r="I19" s="45"/>
    </row>
    <row r="20" spans="1:9">
      <c r="A20" s="2" t="s">
        <v>286</v>
      </c>
      <c r="B20" s="44">
        <v>25000</v>
      </c>
      <c r="C20" s="49" t="s">
        <v>522</v>
      </c>
      <c r="D20" s="2" t="s">
        <v>343</v>
      </c>
      <c r="E20" s="42" t="s">
        <v>513</v>
      </c>
      <c r="F20" s="2" t="s">
        <v>514</v>
      </c>
      <c r="G20" s="2"/>
      <c r="H20" s="2"/>
      <c r="I20" s="45" t="s">
        <v>550</v>
      </c>
    </row>
    <row r="21" spans="1:9">
      <c r="A21" s="2" t="s">
        <v>551</v>
      </c>
      <c r="B21" s="44"/>
      <c r="C21" s="26" t="s">
        <v>281</v>
      </c>
      <c r="D21" s="2" t="s">
        <v>73</v>
      </c>
      <c r="E21" s="42" t="s">
        <v>401</v>
      </c>
      <c r="F21" s="2"/>
      <c r="G21" s="2"/>
      <c r="H21" s="2"/>
      <c r="I21" s="45"/>
    </row>
    <row r="22" spans="1:9">
      <c r="A22" s="2" t="s">
        <v>552</v>
      </c>
      <c r="B22" s="44">
        <v>5000</v>
      </c>
      <c r="C22" s="49" t="s">
        <v>522</v>
      </c>
      <c r="D22" s="2" t="s">
        <v>343</v>
      </c>
      <c r="E22" s="42" t="s">
        <v>513</v>
      </c>
      <c r="F22" s="2" t="s">
        <v>553</v>
      </c>
      <c r="G22" s="2"/>
      <c r="H22" s="2"/>
      <c r="I22" s="45" t="s">
        <v>281</v>
      </c>
    </row>
    <row r="23" spans="1:9">
      <c r="A23" s="12" t="s">
        <v>554</v>
      </c>
      <c r="B23" s="55">
        <v>10000</v>
      </c>
      <c r="C23" s="54" t="s">
        <v>262</v>
      </c>
      <c r="D23" s="12" t="s">
        <v>265</v>
      </c>
      <c r="E23" s="53" t="s">
        <v>513</v>
      </c>
      <c r="F23" s="12" t="s">
        <v>555</v>
      </c>
      <c r="G23" s="12" t="s">
        <v>556</v>
      </c>
      <c r="H23" s="12"/>
      <c r="I23" s="51" t="s">
        <v>557</v>
      </c>
    </row>
    <row r="24" spans="1:9">
      <c r="A24" s="46" t="s">
        <v>558</v>
      </c>
      <c r="B24" s="52">
        <v>10000</v>
      </c>
      <c r="C24" s="26" t="s">
        <v>262</v>
      </c>
      <c r="D24" s="2" t="s">
        <v>73</v>
      </c>
      <c r="E24" s="42" t="s">
        <v>401</v>
      </c>
      <c r="F24" s="2" t="s">
        <v>73</v>
      </c>
      <c r="G24" s="2"/>
      <c r="H24" s="2" t="s">
        <v>73</v>
      </c>
      <c r="I24" s="9"/>
    </row>
    <row r="25" spans="1:9" ht="30">
      <c r="A25" s="2" t="s">
        <v>559</v>
      </c>
      <c r="B25" s="44"/>
      <c r="C25" s="43" t="s">
        <v>262</v>
      </c>
      <c r="D25" s="2" t="s">
        <v>265</v>
      </c>
      <c r="E25" s="42" t="s">
        <v>513</v>
      </c>
      <c r="F25" s="2" t="s">
        <v>514</v>
      </c>
      <c r="G25" s="2" t="s">
        <v>515</v>
      </c>
      <c r="H25" s="2"/>
      <c r="I25" s="51" t="s">
        <v>560</v>
      </c>
    </row>
    <row r="26" spans="1:9">
      <c r="A26" s="2" t="s">
        <v>247</v>
      </c>
      <c r="B26" s="44">
        <v>10000</v>
      </c>
      <c r="C26" s="49" t="s">
        <v>522</v>
      </c>
      <c r="D26" s="2" t="s">
        <v>343</v>
      </c>
      <c r="E26" s="42" t="s">
        <v>513</v>
      </c>
      <c r="F26" s="2" t="s">
        <v>518</v>
      </c>
      <c r="G26" s="2"/>
      <c r="H26" s="2"/>
      <c r="I26" s="45" t="s">
        <v>281</v>
      </c>
    </row>
    <row r="27" spans="1:9">
      <c r="A27" s="2" t="s">
        <v>323</v>
      </c>
      <c r="B27" s="44">
        <v>50000</v>
      </c>
      <c r="C27" s="49" t="s">
        <v>522</v>
      </c>
      <c r="D27" s="2" t="s">
        <v>561</v>
      </c>
      <c r="E27" s="42" t="s">
        <v>513</v>
      </c>
      <c r="F27" s="2" t="s">
        <v>562</v>
      </c>
      <c r="G27" s="2"/>
      <c r="H27" s="2"/>
      <c r="I27" s="45" t="s">
        <v>561</v>
      </c>
    </row>
    <row r="28" spans="1:9">
      <c r="A28" s="46" t="s">
        <v>563</v>
      </c>
      <c r="B28" s="44"/>
      <c r="C28" s="26" t="s">
        <v>262</v>
      </c>
      <c r="D28" s="46" t="s">
        <v>342</v>
      </c>
      <c r="E28" s="42" t="s">
        <v>564</v>
      </c>
      <c r="F28" s="2" t="s">
        <v>73</v>
      </c>
      <c r="G28" s="2" t="s">
        <v>73</v>
      </c>
      <c r="H28" s="2" t="s">
        <v>73</v>
      </c>
      <c r="I28" s="9" t="s">
        <v>351</v>
      </c>
    </row>
    <row r="29" spans="1:9">
      <c r="A29" s="2" t="s">
        <v>282</v>
      </c>
      <c r="B29" s="44"/>
      <c r="C29" s="26" t="s">
        <v>262</v>
      </c>
      <c r="D29" s="46" t="s">
        <v>265</v>
      </c>
      <c r="E29" s="42" t="s">
        <v>513</v>
      </c>
      <c r="F29" s="2"/>
      <c r="G29" s="2"/>
      <c r="H29" s="2"/>
      <c r="I29" s="9" t="s">
        <v>565</v>
      </c>
    </row>
    <row r="30" spans="1:9">
      <c r="A30" s="46" t="s">
        <v>283</v>
      </c>
      <c r="B30" s="44"/>
      <c r="C30" s="43" t="s">
        <v>262</v>
      </c>
      <c r="D30" s="2" t="s">
        <v>265</v>
      </c>
      <c r="E30" s="42" t="s">
        <v>173</v>
      </c>
      <c r="F30" s="2"/>
      <c r="G30" s="2" t="s">
        <v>566</v>
      </c>
      <c r="H30" s="2"/>
      <c r="I30" s="9" t="s">
        <v>567</v>
      </c>
    </row>
    <row r="31" spans="1:9">
      <c r="A31" s="2" t="s">
        <v>305</v>
      </c>
      <c r="B31" s="44">
        <v>100000</v>
      </c>
      <c r="C31" s="49" t="s">
        <v>522</v>
      </c>
      <c r="D31" s="2" t="s">
        <v>343</v>
      </c>
      <c r="E31" s="42" t="s">
        <v>513</v>
      </c>
      <c r="F31" s="2"/>
      <c r="G31" s="2"/>
      <c r="H31" s="2"/>
      <c r="I31" s="45" t="s">
        <v>568</v>
      </c>
    </row>
    <row r="32" spans="1:9">
      <c r="A32" s="2" t="s">
        <v>569</v>
      </c>
      <c r="B32" s="44">
        <v>75000</v>
      </c>
      <c r="C32" s="49" t="s">
        <v>522</v>
      </c>
      <c r="D32" s="2" t="s">
        <v>343</v>
      </c>
      <c r="E32" s="42" t="s">
        <v>513</v>
      </c>
      <c r="F32" s="2" t="s">
        <v>514</v>
      </c>
      <c r="G32" s="2"/>
      <c r="H32" s="2"/>
      <c r="I32" s="45"/>
    </row>
    <row r="33" spans="1:9">
      <c r="A33" s="2" t="s">
        <v>570</v>
      </c>
      <c r="B33" s="44">
        <v>110000</v>
      </c>
      <c r="C33" s="49" t="s">
        <v>522</v>
      </c>
      <c r="D33" s="2" t="s">
        <v>343</v>
      </c>
      <c r="E33" s="42" t="s">
        <v>513</v>
      </c>
      <c r="F33" s="2" t="s">
        <v>514</v>
      </c>
      <c r="G33" s="2"/>
      <c r="H33" s="2" t="s">
        <v>435</v>
      </c>
      <c r="I33" s="45"/>
    </row>
    <row r="34" spans="1:9">
      <c r="A34" s="46" t="s">
        <v>571</v>
      </c>
      <c r="B34" s="44"/>
      <c r="C34" s="49" t="s">
        <v>522</v>
      </c>
      <c r="D34" s="2" t="s">
        <v>572</v>
      </c>
      <c r="E34" s="42" t="s">
        <v>401</v>
      </c>
      <c r="F34" s="2"/>
      <c r="G34" s="2"/>
      <c r="H34" s="2"/>
      <c r="I34" s="45"/>
    </row>
    <row r="35" spans="1:9" ht="30">
      <c r="A35" s="2" t="s">
        <v>573</v>
      </c>
      <c r="B35" s="44">
        <v>50000</v>
      </c>
      <c r="C35" s="43" t="s">
        <v>262</v>
      </c>
      <c r="D35" s="2" t="s">
        <v>265</v>
      </c>
      <c r="E35" s="42" t="s">
        <v>513</v>
      </c>
      <c r="F35" s="2" t="s">
        <v>514</v>
      </c>
      <c r="G35" s="2" t="s">
        <v>515</v>
      </c>
      <c r="H35" s="2"/>
      <c r="I35" s="9" t="s">
        <v>574</v>
      </c>
    </row>
    <row r="36" spans="1:9">
      <c r="A36" s="2" t="s">
        <v>321</v>
      </c>
      <c r="B36" s="44">
        <v>50000</v>
      </c>
      <c r="C36" s="43" t="s">
        <v>281</v>
      </c>
      <c r="D36" s="2" t="s">
        <v>289</v>
      </c>
      <c r="E36" s="42" t="s">
        <v>513</v>
      </c>
      <c r="F36" s="2" t="s">
        <v>575</v>
      </c>
      <c r="G36" s="26" t="s">
        <v>519</v>
      </c>
      <c r="H36" s="2"/>
      <c r="I36" s="45"/>
    </row>
    <row r="37" spans="1:9">
      <c r="A37" s="46" t="s">
        <v>475</v>
      </c>
      <c r="B37" s="44"/>
      <c r="C37" s="49" t="s">
        <v>522</v>
      </c>
      <c r="D37" s="2" t="s">
        <v>343</v>
      </c>
      <c r="E37" s="42" t="s">
        <v>564</v>
      </c>
      <c r="F37" s="2"/>
      <c r="G37" s="2"/>
      <c r="H37" s="2"/>
      <c r="I37" s="50" t="s">
        <v>576</v>
      </c>
    </row>
    <row r="38" spans="1:9">
      <c r="A38" s="2" t="s">
        <v>577</v>
      </c>
      <c r="B38" s="44">
        <v>300000</v>
      </c>
      <c r="C38" s="43" t="s">
        <v>262</v>
      </c>
      <c r="D38" s="2" t="s">
        <v>265</v>
      </c>
      <c r="E38" s="42" t="s">
        <v>513</v>
      </c>
      <c r="F38" s="2"/>
      <c r="G38" s="2" t="s">
        <v>73</v>
      </c>
      <c r="H38" s="2"/>
      <c r="I38" s="9" t="s">
        <v>578</v>
      </c>
    </row>
    <row r="39" spans="1:9">
      <c r="A39" s="2" t="s">
        <v>579</v>
      </c>
      <c r="B39" s="44">
        <v>40000</v>
      </c>
      <c r="C39" s="49" t="s">
        <v>262</v>
      </c>
      <c r="D39" s="2" t="s">
        <v>73</v>
      </c>
      <c r="E39" s="42" t="s">
        <v>513</v>
      </c>
      <c r="F39" s="2" t="s">
        <v>562</v>
      </c>
      <c r="G39" s="2" t="s">
        <v>73</v>
      </c>
      <c r="H39" s="2"/>
      <c r="I39" s="9"/>
    </row>
    <row r="40" spans="1:9">
      <c r="A40" s="2" t="s">
        <v>249</v>
      </c>
      <c r="B40" s="44">
        <v>250000</v>
      </c>
      <c r="C40" s="43" t="s">
        <v>281</v>
      </c>
      <c r="D40" s="2" t="s">
        <v>342</v>
      </c>
      <c r="E40" s="42" t="s">
        <v>513</v>
      </c>
      <c r="F40" s="2" t="s">
        <v>542</v>
      </c>
      <c r="G40" s="26" t="s">
        <v>519</v>
      </c>
      <c r="H40" s="2"/>
      <c r="I40" s="45"/>
    </row>
    <row r="41" spans="1:9">
      <c r="A41" s="2" t="s">
        <v>580</v>
      </c>
      <c r="B41" s="44">
        <v>25000</v>
      </c>
      <c r="C41" s="49" t="s">
        <v>522</v>
      </c>
      <c r="D41" s="2" t="s">
        <v>343</v>
      </c>
      <c r="E41" s="42" t="s">
        <v>513</v>
      </c>
      <c r="F41" s="2" t="s">
        <v>562</v>
      </c>
      <c r="G41" s="2"/>
      <c r="H41" s="2"/>
      <c r="I41" s="50" t="s">
        <v>576</v>
      </c>
    </row>
    <row r="42" spans="1:9">
      <c r="A42" s="2" t="s">
        <v>581</v>
      </c>
      <c r="B42" s="44"/>
      <c r="C42" s="26" t="s">
        <v>281</v>
      </c>
      <c r="D42" s="2" t="s">
        <v>73</v>
      </c>
      <c r="E42" s="42" t="s">
        <v>401</v>
      </c>
      <c r="F42" s="2"/>
      <c r="G42" s="2"/>
      <c r="H42" s="2"/>
      <c r="I42" s="45"/>
    </row>
    <row r="43" spans="1:9">
      <c r="A43" s="2" t="s">
        <v>582</v>
      </c>
      <c r="B43" s="44">
        <v>10000</v>
      </c>
      <c r="C43" s="49" t="s">
        <v>522</v>
      </c>
      <c r="D43" s="2" t="s">
        <v>343</v>
      </c>
      <c r="E43" s="42" t="s">
        <v>513</v>
      </c>
      <c r="F43" s="2" t="s">
        <v>518</v>
      </c>
      <c r="G43" s="2"/>
      <c r="H43" s="2"/>
      <c r="I43" s="45" t="s">
        <v>583</v>
      </c>
    </row>
    <row r="44" spans="1:9">
      <c r="A44" s="48" t="s">
        <v>320</v>
      </c>
      <c r="B44" s="47">
        <v>172000</v>
      </c>
      <c r="C44" s="49" t="s">
        <v>281</v>
      </c>
      <c r="D44" s="2" t="s">
        <v>289</v>
      </c>
      <c r="E44" s="42" t="s">
        <v>513</v>
      </c>
      <c r="F44" s="2" t="s">
        <v>584</v>
      </c>
      <c r="G44" s="26" t="s">
        <v>519</v>
      </c>
      <c r="H44" s="2"/>
      <c r="I44" s="45"/>
    </row>
    <row r="45" spans="1:9">
      <c r="A45" s="48" t="s">
        <v>318</v>
      </c>
      <c r="B45" s="47">
        <v>100000</v>
      </c>
      <c r="C45" s="43" t="s">
        <v>281</v>
      </c>
      <c r="D45" s="2" t="s">
        <v>289</v>
      </c>
      <c r="E45" s="42" t="s">
        <v>513</v>
      </c>
      <c r="F45" s="2" t="s">
        <v>585</v>
      </c>
      <c r="G45" s="26" t="s">
        <v>519</v>
      </c>
      <c r="H45" s="2" t="s">
        <v>549</v>
      </c>
      <c r="I45" s="45"/>
    </row>
    <row r="46" spans="1:9">
      <c r="A46" s="2" t="s">
        <v>586</v>
      </c>
      <c r="B46" s="44">
        <v>50000</v>
      </c>
      <c r="C46" s="43" t="s">
        <v>281</v>
      </c>
      <c r="D46" s="2" t="s">
        <v>289</v>
      </c>
      <c r="E46" s="42" t="s">
        <v>513</v>
      </c>
      <c r="F46" s="2"/>
      <c r="G46" s="26"/>
      <c r="H46" s="2"/>
      <c r="I46" s="45"/>
    </row>
    <row r="47" spans="1:9" ht="30">
      <c r="A47" s="2" t="s">
        <v>587</v>
      </c>
      <c r="B47" s="44">
        <f>3000*11</f>
        <v>33000</v>
      </c>
      <c r="C47" s="43" t="s">
        <v>522</v>
      </c>
      <c r="D47" s="2" t="s">
        <v>343</v>
      </c>
      <c r="E47" s="42" t="s">
        <v>513</v>
      </c>
      <c r="F47" s="2" t="s">
        <v>435</v>
      </c>
      <c r="G47" s="2"/>
      <c r="H47" s="2"/>
      <c r="I47" s="9" t="s">
        <v>588</v>
      </c>
    </row>
    <row r="48" spans="1:9">
      <c r="A48" s="2" t="s">
        <v>589</v>
      </c>
      <c r="B48" s="44"/>
      <c r="C48" s="43"/>
      <c r="D48" s="2"/>
      <c r="E48" s="42"/>
      <c r="F48" s="2"/>
      <c r="G48" s="2"/>
      <c r="H48" s="2"/>
      <c r="I48" s="9"/>
    </row>
    <row r="49" spans="1:9">
      <c r="A49" s="46" t="s">
        <v>355</v>
      </c>
      <c r="B49" s="44"/>
      <c r="C49" s="26" t="s">
        <v>281</v>
      </c>
      <c r="D49" s="2" t="s">
        <v>73</v>
      </c>
      <c r="E49" s="42" t="s">
        <v>564</v>
      </c>
      <c r="F49" s="2"/>
      <c r="G49" s="2"/>
      <c r="H49" s="2"/>
      <c r="I49" s="45"/>
    </row>
    <row r="50" spans="1:9">
      <c r="A50" s="46" t="s">
        <v>590</v>
      </c>
      <c r="B50" s="44"/>
      <c r="C50" s="26" t="s">
        <v>281</v>
      </c>
      <c r="D50" s="46" t="s">
        <v>354</v>
      </c>
      <c r="E50" s="42" t="s">
        <v>564</v>
      </c>
      <c r="F50" s="2"/>
      <c r="G50" s="2"/>
      <c r="H50" s="2"/>
      <c r="I50" s="45"/>
    </row>
    <row r="51" spans="1:9">
      <c r="A51" s="46" t="s">
        <v>317</v>
      </c>
      <c r="B51" s="44">
        <v>37000</v>
      </c>
      <c r="C51" s="26" t="s">
        <v>281</v>
      </c>
      <c r="D51" s="46" t="s">
        <v>289</v>
      </c>
      <c r="E51" s="42" t="s">
        <v>513</v>
      </c>
      <c r="F51" s="2" t="s">
        <v>591</v>
      </c>
      <c r="G51" s="26" t="s">
        <v>519</v>
      </c>
      <c r="H51" s="2"/>
      <c r="I51" s="45"/>
    </row>
    <row r="52" spans="1:9">
      <c r="A52" s="2" t="s">
        <v>304</v>
      </c>
      <c r="B52" s="44"/>
      <c r="C52" s="43" t="s">
        <v>281</v>
      </c>
      <c r="D52" s="2" t="s">
        <v>289</v>
      </c>
      <c r="E52" s="42" t="s">
        <v>173</v>
      </c>
      <c r="F52" s="2"/>
      <c r="G52" s="2"/>
      <c r="H52" s="2"/>
      <c r="I52" s="9" t="s">
        <v>592</v>
      </c>
    </row>
    <row r="54" spans="1:9">
      <c r="A54" s="41" t="s">
        <v>289</v>
      </c>
      <c r="B54">
        <f>COUNTIF(D2:D52, "BM")</f>
        <v>13</v>
      </c>
    </row>
    <row r="55" spans="1:9">
      <c r="A55" s="41" t="s">
        <v>265</v>
      </c>
      <c r="B55">
        <f>COUNTIF(D3:D52, "AK")</f>
        <v>13</v>
      </c>
    </row>
    <row r="56" spans="1:9">
      <c r="A56" s="41" t="s">
        <v>343</v>
      </c>
      <c r="B56">
        <f>COUNTIF(D4:D53, "DM")</f>
        <v>12</v>
      </c>
    </row>
  </sheetData>
  <autoFilter ref="A1:I52" xr:uid="{6A7A2660-681E-49DA-A13C-655B3BB8AFAD}"/>
  <pageMargins left="0.7" right="0.7" top="0.75" bottom="0.75" header="0.3" footer="0.3"/>
  <pageSetup orientation="portrait" verticalDpi="1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A09C-A7A0-4838-94E7-F6F36E8D2059}">
  <sheetPr codeName="Sheet6"/>
  <dimension ref="A1:E17"/>
  <sheetViews>
    <sheetView zoomScale="130" zoomScaleNormal="130" workbookViewId="0">
      <selection activeCell="C8" sqref="C8"/>
    </sheetView>
  </sheetViews>
  <sheetFormatPr defaultColWidth="8.85546875" defaultRowHeight="15"/>
  <cols>
    <col min="1" max="1" width="26.42578125" customWidth="1"/>
    <col min="2" max="2" width="10.42578125" bestFit="1" customWidth="1"/>
    <col min="3" max="3" width="11.85546875" bestFit="1" customWidth="1"/>
    <col min="4" max="4" width="19.85546875" customWidth="1"/>
    <col min="5" max="5" width="89.42578125" style="11" customWidth="1"/>
  </cols>
  <sheetData>
    <row r="1" spans="1:5">
      <c r="A1" s="19" t="s">
        <v>593</v>
      </c>
      <c r="B1" s="1" t="s">
        <v>594</v>
      </c>
      <c r="C1" s="1" t="s">
        <v>595</v>
      </c>
      <c r="D1" s="1" t="s">
        <v>596</v>
      </c>
      <c r="E1" s="19" t="s">
        <v>2</v>
      </c>
    </row>
    <row r="2" spans="1:5">
      <c r="A2" s="23" t="s">
        <v>597</v>
      </c>
      <c r="B2" s="21">
        <v>10000</v>
      </c>
      <c r="C2" s="2" t="s">
        <v>326</v>
      </c>
      <c r="D2" s="26" t="s">
        <v>73</v>
      </c>
      <c r="E2" s="9" t="s">
        <v>598</v>
      </c>
    </row>
    <row r="3" spans="1:5">
      <c r="A3" s="23" t="s">
        <v>599</v>
      </c>
      <c r="B3" s="21" t="s">
        <v>267</v>
      </c>
      <c r="C3" s="2" t="s">
        <v>329</v>
      </c>
      <c r="D3" s="26" t="s">
        <v>73</v>
      </c>
      <c r="E3" s="9" t="s">
        <v>600</v>
      </c>
    </row>
    <row r="4" spans="1:5">
      <c r="A4" s="23" t="s">
        <v>601</v>
      </c>
      <c r="B4" s="21" t="s">
        <v>267</v>
      </c>
      <c r="C4" s="2" t="s">
        <v>329</v>
      </c>
      <c r="D4" s="26" t="s">
        <v>73</v>
      </c>
      <c r="E4" s="9" t="s">
        <v>602</v>
      </c>
    </row>
    <row r="5" spans="1:5" ht="30">
      <c r="A5" s="23" t="s">
        <v>603</v>
      </c>
      <c r="B5" s="21" t="s">
        <v>267</v>
      </c>
      <c r="C5" s="2" t="s">
        <v>326</v>
      </c>
      <c r="D5" s="26"/>
      <c r="E5" s="9" t="s">
        <v>604</v>
      </c>
    </row>
    <row r="6" spans="1:5" ht="30">
      <c r="A6" s="23" t="s">
        <v>605</v>
      </c>
      <c r="B6" s="21"/>
      <c r="C6" s="2"/>
      <c r="D6" s="26"/>
      <c r="E6" s="9"/>
    </row>
    <row r="7" spans="1:5" ht="45">
      <c r="A7" s="23" t="s">
        <v>606</v>
      </c>
      <c r="B7" s="21">
        <v>40000</v>
      </c>
      <c r="C7" s="2" t="s">
        <v>267</v>
      </c>
      <c r="D7" s="26" t="s">
        <v>607</v>
      </c>
      <c r="E7" s="9" t="s">
        <v>608</v>
      </c>
    </row>
    <row r="8" spans="1:5" ht="30">
      <c r="A8" s="23" t="s">
        <v>609</v>
      </c>
      <c r="B8" s="21">
        <v>15000</v>
      </c>
      <c r="C8" s="2" t="s">
        <v>610</v>
      </c>
      <c r="D8" s="26" t="s">
        <v>328</v>
      </c>
      <c r="E8" s="9" t="s">
        <v>611</v>
      </c>
    </row>
    <row r="9" spans="1:5" ht="45">
      <c r="A9" s="23" t="s">
        <v>612</v>
      </c>
      <c r="B9" s="21">
        <v>10000</v>
      </c>
      <c r="C9" s="2" t="s">
        <v>610</v>
      </c>
      <c r="D9" s="26">
        <v>10</v>
      </c>
      <c r="E9" s="9" t="s">
        <v>613</v>
      </c>
    </row>
    <row r="10" spans="1:5" ht="30">
      <c r="A10" s="23" t="s">
        <v>327</v>
      </c>
      <c r="B10" s="21">
        <v>15000</v>
      </c>
      <c r="C10" s="2" t="s">
        <v>610</v>
      </c>
      <c r="D10" s="26">
        <v>10</v>
      </c>
      <c r="E10" s="9" t="s">
        <v>614</v>
      </c>
    </row>
    <row r="12" spans="1:5" ht="43.5" customHeight="1">
      <c r="A12" s="112" t="s">
        <v>615</v>
      </c>
      <c r="B12" s="112"/>
      <c r="C12" s="112"/>
    </row>
    <row r="14" spans="1:5">
      <c r="A14" s="24"/>
    </row>
    <row r="15" spans="1:5">
      <c r="A15" s="24"/>
    </row>
    <row r="16" spans="1:5">
      <c r="A16" s="24"/>
    </row>
    <row r="17" spans="1:1">
      <c r="A17" s="24"/>
    </row>
  </sheetData>
  <mergeCells count="1">
    <mergeCell ref="A12:C12"/>
  </mergeCell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013B-FB59-4F64-81A9-1E5E1813DD49}">
  <dimension ref="A1:A22"/>
  <sheetViews>
    <sheetView zoomScale="145" zoomScaleNormal="145" workbookViewId="0">
      <selection activeCell="I21" sqref="I21"/>
    </sheetView>
  </sheetViews>
  <sheetFormatPr defaultColWidth="8.85546875" defaultRowHeight="15"/>
  <sheetData>
    <row r="1" spans="1:1">
      <c r="A1" s="15" t="s">
        <v>616</v>
      </c>
    </row>
    <row r="2" spans="1:1">
      <c r="A2" s="61" t="s">
        <v>617</v>
      </c>
    </row>
    <row r="3" spans="1:1">
      <c r="A3" s="61"/>
    </row>
    <row r="4" spans="1:1">
      <c r="A4" s="61" t="s">
        <v>618</v>
      </c>
    </row>
    <row r="5" spans="1:1">
      <c r="A5" s="61"/>
    </row>
    <row r="6" spans="1:1">
      <c r="A6" s="61" t="s">
        <v>619</v>
      </c>
    </row>
    <row r="7" spans="1:1">
      <c r="A7" s="62" t="s">
        <v>620</v>
      </c>
    </row>
    <row r="8" spans="1:1">
      <c r="A8" s="62" t="s">
        <v>621</v>
      </c>
    </row>
    <row r="9" spans="1:1">
      <c r="A9" s="62"/>
    </row>
    <row r="10" spans="1:1">
      <c r="A10" s="61" t="s">
        <v>622</v>
      </c>
    </row>
    <row r="12" spans="1:1">
      <c r="A12" s="61" t="s">
        <v>623</v>
      </c>
    </row>
    <row r="13" spans="1:1">
      <c r="A13" s="62" t="s">
        <v>624</v>
      </c>
    </row>
    <row r="14" spans="1:1">
      <c r="A14" s="62" t="s">
        <v>625</v>
      </c>
    </row>
    <row r="15" spans="1:1">
      <c r="A15" s="62" t="s">
        <v>626</v>
      </c>
    </row>
    <row r="16" spans="1:1">
      <c r="A16" s="62" t="s">
        <v>627</v>
      </c>
    </row>
    <row r="17" spans="1:1">
      <c r="A17" s="62" t="s">
        <v>628</v>
      </c>
    </row>
    <row r="18" spans="1:1">
      <c r="A18" s="62" t="s">
        <v>629</v>
      </c>
    </row>
    <row r="19" spans="1:1">
      <c r="A19" s="62" t="s">
        <v>630</v>
      </c>
    </row>
    <row r="20" spans="1:1">
      <c r="A20" s="62" t="s">
        <v>631</v>
      </c>
    </row>
    <row r="21" spans="1:1">
      <c r="A21" s="62" t="s">
        <v>632</v>
      </c>
    </row>
    <row r="22" spans="1:1">
      <c r="A22" s="62" t="s">
        <v>633</v>
      </c>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1322-8A54-4EA9-9D67-410B6E15FBA3}">
  <dimension ref="A2:J35"/>
  <sheetViews>
    <sheetView topLeftCell="A28" zoomScale="115" zoomScaleNormal="115" workbookViewId="0">
      <selection activeCell="A37" sqref="A37"/>
    </sheetView>
  </sheetViews>
  <sheetFormatPr defaultColWidth="8.85546875" defaultRowHeight="15"/>
  <cols>
    <col min="1" max="1" width="115.140625" style="11" customWidth="1"/>
  </cols>
  <sheetData>
    <row r="2" spans="1:1" ht="165">
      <c r="A2" s="11" t="s">
        <v>634</v>
      </c>
    </row>
    <row r="4" spans="1:1" ht="47.25">
      <c r="A4" s="68" t="s">
        <v>635</v>
      </c>
    </row>
    <row r="5" spans="1:1">
      <c r="A5" s="69"/>
    </row>
    <row r="6" spans="1:1" ht="15.75">
      <c r="A6" s="70" t="s">
        <v>636</v>
      </c>
    </row>
    <row r="7" spans="1:1">
      <c r="A7" s="69"/>
    </row>
    <row r="8" spans="1:1" ht="47.25">
      <c r="A8" s="68" t="s">
        <v>637</v>
      </c>
    </row>
    <row r="9" spans="1:1">
      <c r="A9" s="69"/>
    </row>
    <row r="10" spans="1:1" ht="15.75">
      <c r="A10" s="70" t="s">
        <v>638</v>
      </c>
    </row>
    <row r="11" spans="1:1">
      <c r="A11" s="69"/>
    </row>
    <row r="12" spans="1:1" ht="78.75">
      <c r="A12" s="68" t="s">
        <v>639</v>
      </c>
    </row>
    <row r="13" spans="1:1">
      <c r="A13" s="69"/>
    </row>
    <row r="14" spans="1:1" ht="15.75">
      <c r="A14" s="70" t="s">
        <v>640</v>
      </c>
    </row>
    <row r="15" spans="1:1">
      <c r="A15" s="69"/>
    </row>
    <row r="16" spans="1:1" ht="47.25">
      <c r="A16" s="70" t="s">
        <v>641</v>
      </c>
    </row>
    <row r="17" spans="1:10">
      <c r="A17" s="69"/>
    </row>
    <row r="18" spans="1:10" ht="15.75">
      <c r="A18" s="70" t="s">
        <v>642</v>
      </c>
    </row>
    <row r="19" spans="1:10">
      <c r="A19" s="69"/>
    </row>
    <row r="20" spans="1:10" ht="63">
      <c r="A20" s="68" t="s">
        <v>643</v>
      </c>
    </row>
    <row r="21" spans="1:10">
      <c r="A21" s="69"/>
    </row>
    <row r="22" spans="1:10" ht="15.75">
      <c r="A22" s="70" t="s">
        <v>644</v>
      </c>
    </row>
    <row r="23" spans="1:10">
      <c r="A23" s="69"/>
    </row>
    <row r="24" spans="1:10" ht="78.75">
      <c r="A24" s="68" t="s">
        <v>645</v>
      </c>
    </row>
    <row r="25" spans="1:10">
      <c r="A25" s="69"/>
    </row>
    <row r="26" spans="1:10" ht="15.75">
      <c r="A26" s="70" t="s">
        <v>646</v>
      </c>
    </row>
    <row r="28" spans="1:10" ht="152.44999999999999" customHeight="1">
      <c r="A28" s="101" t="s">
        <v>647</v>
      </c>
      <c r="B28" s="101"/>
      <c r="C28" s="101"/>
      <c r="D28" s="101"/>
      <c r="E28" s="101"/>
      <c r="F28" s="101"/>
      <c r="G28" s="101"/>
      <c r="H28" s="101"/>
      <c r="I28" s="101"/>
      <c r="J28" s="101"/>
    </row>
    <row r="30" spans="1:10">
      <c r="A30" s="11" t="s">
        <v>648</v>
      </c>
    </row>
    <row r="32" spans="1:10" ht="105">
      <c r="A32" s="11" t="s">
        <v>649</v>
      </c>
    </row>
    <row r="33" spans="1:1">
      <c r="A33" s="11" t="s">
        <v>650</v>
      </c>
    </row>
    <row r="35" spans="1:1" ht="105">
      <c r="A35" s="11" t="s">
        <v>651</v>
      </c>
    </row>
  </sheetData>
  <mergeCells count="1">
    <mergeCell ref="A28:J28"/>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84B5-BA53-4C1D-868C-7DF24B7592E7}">
  <dimension ref="A1:F16"/>
  <sheetViews>
    <sheetView workbookViewId="0">
      <pane xSplit="1" ySplit="1" topLeftCell="D2" activePane="bottomRight" state="frozen"/>
      <selection pane="topRight" activeCell="B1" sqref="B1"/>
      <selection pane="bottomLeft" activeCell="A2" sqref="A2"/>
      <selection pane="bottomRight" activeCell="A24" sqref="A24"/>
    </sheetView>
  </sheetViews>
  <sheetFormatPr defaultColWidth="8.85546875" defaultRowHeight="15"/>
  <cols>
    <col min="1" max="1" width="30.85546875" customWidth="1"/>
    <col min="2" max="2" width="10.85546875" style="28" customWidth="1"/>
    <col min="3" max="3" width="12" customWidth="1"/>
    <col min="4" max="4" width="16.85546875" style="28" customWidth="1"/>
    <col min="5" max="5" width="42.42578125" customWidth="1"/>
    <col min="6" max="6" width="70" style="27" customWidth="1"/>
  </cols>
  <sheetData>
    <row r="1" spans="1:6">
      <c r="A1" s="39" t="s">
        <v>2</v>
      </c>
      <c r="B1" s="37" t="s">
        <v>652</v>
      </c>
      <c r="C1" s="38" t="s">
        <v>1</v>
      </c>
      <c r="D1" s="37" t="s">
        <v>653</v>
      </c>
      <c r="E1" s="36" t="s">
        <v>335</v>
      </c>
      <c r="F1" s="35" t="s">
        <v>3</v>
      </c>
    </row>
    <row r="2" spans="1:6" ht="25.5">
      <c r="A2" s="32" t="s">
        <v>654</v>
      </c>
      <c r="B2" s="31">
        <v>44320</v>
      </c>
      <c r="C2" s="30" t="s">
        <v>237</v>
      </c>
      <c r="D2" s="31" t="s">
        <v>655</v>
      </c>
      <c r="E2" s="30" t="s">
        <v>656</v>
      </c>
      <c r="F2" s="29" t="s">
        <v>657</v>
      </c>
    </row>
    <row r="3" spans="1:6" ht="51">
      <c r="A3" s="32" t="s">
        <v>658</v>
      </c>
      <c r="B3" s="31">
        <v>44260</v>
      </c>
      <c r="C3" s="30" t="s">
        <v>659</v>
      </c>
      <c r="D3" s="31" t="s">
        <v>660</v>
      </c>
      <c r="E3" s="30" t="s">
        <v>661</v>
      </c>
      <c r="F3" s="29" t="s">
        <v>662</v>
      </c>
    </row>
    <row r="4" spans="1:6" ht="38.25">
      <c r="A4" s="32" t="s">
        <v>533</v>
      </c>
      <c r="B4" s="31">
        <v>44257</v>
      </c>
      <c r="C4" s="31" t="s">
        <v>663</v>
      </c>
      <c r="D4" s="31" t="s">
        <v>664</v>
      </c>
      <c r="E4" s="30" t="s">
        <v>665</v>
      </c>
      <c r="F4" s="29" t="s">
        <v>666</v>
      </c>
    </row>
    <row r="5" spans="1:6" ht="38.25">
      <c r="A5" s="32" t="s">
        <v>667</v>
      </c>
      <c r="B5" s="31">
        <v>44237</v>
      </c>
      <c r="C5" s="30" t="s">
        <v>659</v>
      </c>
      <c r="D5" s="31" t="s">
        <v>668</v>
      </c>
      <c r="E5" s="30" t="s">
        <v>669</v>
      </c>
      <c r="F5" s="29" t="s">
        <v>670</v>
      </c>
    </row>
    <row r="6" spans="1:6">
      <c r="A6" s="32"/>
      <c r="B6" s="31"/>
      <c r="C6" s="30"/>
      <c r="D6" s="31"/>
      <c r="E6" s="30"/>
      <c r="F6" s="29"/>
    </row>
    <row r="7" spans="1:6">
      <c r="A7" s="32"/>
      <c r="B7" s="31"/>
      <c r="C7" s="30"/>
      <c r="D7" s="31"/>
      <c r="E7" s="30"/>
      <c r="F7" s="29"/>
    </row>
    <row r="8" spans="1:6">
      <c r="A8" s="32"/>
      <c r="B8" s="31"/>
      <c r="C8" s="30"/>
      <c r="D8" s="31"/>
      <c r="E8" s="30"/>
      <c r="F8" s="29"/>
    </row>
    <row r="9" spans="1:6">
      <c r="A9" s="34"/>
      <c r="B9" s="31"/>
      <c r="C9" s="30"/>
      <c r="D9" s="31"/>
      <c r="E9" s="30"/>
      <c r="F9" s="29"/>
    </row>
    <row r="10" spans="1:6">
      <c r="A10" s="32"/>
      <c r="B10" s="31"/>
      <c r="C10" s="30"/>
      <c r="D10" s="31"/>
      <c r="E10" s="30"/>
      <c r="F10" s="29"/>
    </row>
    <row r="11" spans="1:6">
      <c r="A11" s="32"/>
      <c r="B11" s="31"/>
      <c r="C11" s="30"/>
      <c r="D11" s="31"/>
      <c r="E11" s="30"/>
      <c r="F11" s="29"/>
    </row>
    <row r="12" spans="1:6">
      <c r="A12" s="34"/>
      <c r="B12" s="31"/>
      <c r="C12" s="30"/>
      <c r="D12" s="31"/>
      <c r="E12" s="30"/>
      <c r="F12" s="29"/>
    </row>
    <row r="13" spans="1:6">
      <c r="A13" s="32"/>
      <c r="B13" s="31"/>
      <c r="C13" s="30"/>
      <c r="D13" s="31"/>
      <c r="E13" s="30"/>
      <c r="F13" s="29"/>
    </row>
    <row r="14" spans="1:6">
      <c r="A14" s="32"/>
      <c r="B14" s="31"/>
      <c r="C14" s="30"/>
      <c r="D14" s="31"/>
      <c r="E14" s="30"/>
      <c r="F14" s="29"/>
    </row>
    <row r="15" spans="1:6">
      <c r="A15" s="33"/>
      <c r="B15" s="31"/>
      <c r="C15" s="30"/>
      <c r="D15" s="31"/>
      <c r="E15" s="30"/>
      <c r="F15" s="29"/>
    </row>
    <row r="16" spans="1:6">
      <c r="A16" s="32"/>
      <c r="B16" s="31"/>
      <c r="C16" s="30"/>
      <c r="D16" s="31"/>
      <c r="E16" s="30"/>
      <c r="F16" s="29"/>
    </row>
  </sheetData>
  <autoFilter ref="A1:F3" xr:uid="{BAA8A8B9-0C92-4A41-BAA6-57D1BF28C05E}">
    <sortState xmlns:xlrd2="http://schemas.microsoft.com/office/spreadsheetml/2017/richdata2" ref="A2:F5">
      <sortCondition descending="1" ref="B1:B3"/>
    </sortState>
  </autoFilter>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0D12E0FECFAF4EB134FCD1A0E103EC" ma:contentTypeVersion="19" ma:contentTypeDescription="Create a new document." ma:contentTypeScope="" ma:versionID="3aa4782a045bf8ae1cec52193a748389">
  <xsd:schema xmlns:xsd="http://www.w3.org/2001/XMLSchema" xmlns:xs="http://www.w3.org/2001/XMLSchema" xmlns:p="http://schemas.microsoft.com/office/2006/metadata/properties" xmlns:ns2="614e71a9-e1cd-48e9-8383-2a5b647609bc" xmlns:ns3="613ef585-0a7b-4531-afae-d405e23add2e" targetNamespace="http://schemas.microsoft.com/office/2006/metadata/properties" ma:root="true" ma:fieldsID="7ed1153d707239155565957361452cb3" ns2:_="" ns3:_="">
    <xsd:import namespace="614e71a9-e1cd-48e9-8383-2a5b647609bc"/>
    <xsd:import namespace="613ef585-0a7b-4531-afae-d405e23add2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4e71a9-e1cd-48e9-8383-2a5b647609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29d8538-d3a1-40e2-b769-ec264e7436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3ef585-0a7b-4531-afae-d405e23add2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0454690-4d11-450f-a0d1-b87a3c5545f8}" ma:internalName="TaxCatchAll" ma:showField="CatchAllData" ma:web="613ef585-0a7b-4531-afae-d405e23add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13ef585-0a7b-4531-afae-d405e23add2e" xsi:nil="true"/>
    <lcf76f155ced4ddcb4097134ff3c332f xmlns="614e71a9-e1cd-48e9-8383-2a5b647609bc">
      <Terms xmlns="http://schemas.microsoft.com/office/infopath/2007/PartnerControls"/>
    </lcf76f155ced4ddcb4097134ff3c332f>
    <SharedWithUsers xmlns="613ef585-0a7b-4531-afae-d405e23add2e">
      <UserInfo>
        <DisplayName>Perri Mansfield</DisplayName>
        <AccountId>26191</AccountId>
        <AccountType/>
      </UserInfo>
      <UserInfo>
        <DisplayName>David Olds</DisplayName>
        <AccountId>15920</AccountId>
        <AccountType/>
      </UserInfo>
      <UserInfo>
        <DisplayName>Cole Smith</DisplayName>
        <AccountId>26480</AccountId>
        <AccountType/>
      </UserInfo>
      <UserInfo>
        <DisplayName>Marshall Caldera</DisplayName>
        <AccountId>23071</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B5E204-99D0-48AD-84AD-D5376163C1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4e71a9-e1cd-48e9-8383-2a5b647609bc"/>
    <ds:schemaRef ds:uri="613ef585-0a7b-4531-afae-d405e23a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5B6B7-9E50-430B-82C4-EE71C62FC9B1}">
  <ds:schemaRefs>
    <ds:schemaRef ds:uri="http://purl.org/dc/terms/"/>
    <ds:schemaRef ds:uri="614e71a9-e1cd-48e9-8383-2a5b647609bc"/>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infopath/2007/PartnerControls"/>
    <ds:schemaRef ds:uri="613ef585-0a7b-4531-afae-d405e23add2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6963A55-1A0D-4BA9-886F-2174684F6D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Research Project Guide</vt:lpstr>
      <vt:lpstr>Research</vt:lpstr>
      <vt:lpstr>Charts</vt:lpstr>
      <vt:lpstr>Netsuite Searches</vt:lpstr>
      <vt:lpstr>2023 Partners</vt:lpstr>
      <vt:lpstr>Sample Proposals</vt:lpstr>
      <vt:lpstr>Document Links</vt:lpstr>
      <vt:lpstr>Partnerships</vt:lpstr>
      <vt:lpstr>Stewardship Tracker</vt:lpstr>
      <vt:lpstr>Partnership Models</vt:lpstr>
      <vt:lpstr>Stewardship Strategy</vt:lpstr>
      <vt:lpstr>Stories (inactive)</vt:lpstr>
      <vt:lpstr>Stewardship Content (inactive)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Lynch</dc:creator>
  <cp:keywords/>
  <dc:description/>
  <cp:lastModifiedBy>Conte, Aidan</cp:lastModifiedBy>
  <cp:revision/>
  <dcterms:created xsi:type="dcterms:W3CDTF">2019-11-04T20:14:18Z</dcterms:created>
  <dcterms:modified xsi:type="dcterms:W3CDTF">2026-01-28T14:34:29Z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0x010100940D12E0FECFAF4EB134FCD1A0E103EC</vt:lpwstr>
  </property>
  <property fmtid="{D5CDD505-2E9C-101B-9397-08002B2CF9AE}" pid="3" name="MediaServiceImageTags">
    <vt:lpwstr/>
  </property>
</Properties>
</file>